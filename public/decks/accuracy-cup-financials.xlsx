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75e284ac0efd450/NTU/Business Solutions/"/>
    </mc:Choice>
  </mc:AlternateContent>
  <xr:revisionPtr revIDLastSave="8" documentId="8_{221A5220-89FE-4A37-AB60-B68232D87CA3}" xr6:coauthVersionLast="47" xr6:coauthVersionMax="47" xr10:uidLastSave="{3BD8AE03-0826-4FE5-BD32-6FC2D2D1B3E3}"/>
  <bookViews>
    <workbookView xWindow="-110" yWindow="-110" windowWidth="19420" windowHeight="11500" xr2:uid="{00000000-000D-0000-FFFF-FFFF00000000}"/>
  </bookViews>
  <sheets>
    <sheet name="Baseline &amp; Tariff Impact" sheetId="2" r:id="rId1"/>
    <sheet name="Strategic Revenue Model" sheetId="9" r:id="rId2"/>
    <sheet name="1. Assumptions" sheetId="1" r:id="rId3"/>
    <sheet name="2. Historical Financials" sheetId="3" r:id="rId4"/>
    <sheet name="3. BAU Projection" sheetId="4" r:id="rId5"/>
    <sheet name="4. Tariff Impact Detail" sheetId="5" r:id="rId6"/>
    <sheet name="5. Tariff Impact 5Yr" sheetId="6" r:id="rId7"/>
    <sheet name="6. Strategic Scenarios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" i="2" l="1"/>
  <c r="F40" i="2"/>
  <c r="G40" i="2"/>
  <c r="H40" i="2"/>
  <c r="I40" i="2"/>
  <c r="J40" i="2"/>
  <c r="K40" i="2"/>
  <c r="L40" i="2"/>
  <c r="F38" i="2"/>
  <c r="D6" i="4"/>
  <c r="F33" i="2"/>
  <c r="J32" i="2"/>
  <c r="K32" i="2"/>
  <c r="L32" i="2"/>
  <c r="F32" i="2"/>
  <c r="E221" i="9"/>
  <c r="H32" i="2" s="1"/>
  <c r="F221" i="9"/>
  <c r="I32" i="2" s="1"/>
  <c r="D221" i="9"/>
  <c r="G32" i="2" s="1"/>
  <c r="I193" i="9"/>
  <c r="H193" i="9"/>
  <c r="G193" i="9"/>
  <c r="H182" i="9"/>
  <c r="I182" i="9"/>
  <c r="G182" i="9"/>
  <c r="H176" i="9"/>
  <c r="I176" i="9"/>
  <c r="G176" i="9"/>
  <c r="H170" i="9"/>
  <c r="H195" i="9" s="1"/>
  <c r="H200" i="9" s="1"/>
  <c r="I170" i="9"/>
  <c r="G170" i="9"/>
  <c r="G195" i="9" s="1"/>
  <c r="G200" i="9" s="1"/>
  <c r="H163" i="9"/>
  <c r="I163" i="9"/>
  <c r="I195" i="9" s="1"/>
  <c r="I200" i="9" s="1"/>
  <c r="G163" i="9"/>
  <c r="F151" i="9"/>
  <c r="F153" i="9" s="1"/>
  <c r="E143" i="9"/>
  <c r="E153" i="9" s="1"/>
  <c r="D136" i="9"/>
  <c r="D153" i="9" s="1"/>
  <c r="G123" i="9"/>
  <c r="I111" i="9"/>
  <c r="E121" i="9"/>
  <c r="F121" i="9"/>
  <c r="G121" i="9"/>
  <c r="H121" i="9"/>
  <c r="H123" i="9" s="1"/>
  <c r="I121" i="9"/>
  <c r="I123" i="9" s="1"/>
  <c r="D121" i="9"/>
  <c r="E117" i="9"/>
  <c r="F117" i="9"/>
  <c r="G117" i="9"/>
  <c r="G119" i="9" s="1"/>
  <c r="H117" i="9"/>
  <c r="H119" i="9" s="1"/>
  <c r="I117" i="9"/>
  <c r="I119" i="9" s="1"/>
  <c r="D117" i="9"/>
  <c r="E113" i="9"/>
  <c r="F113" i="9"/>
  <c r="G113" i="9"/>
  <c r="G115" i="9" s="1"/>
  <c r="H113" i="9"/>
  <c r="H115" i="9" s="1"/>
  <c r="I113" i="9"/>
  <c r="I115" i="9" s="1"/>
  <c r="E109" i="9"/>
  <c r="F109" i="9"/>
  <c r="G109" i="9"/>
  <c r="G111" i="9" s="1"/>
  <c r="H109" i="9"/>
  <c r="H111" i="9" s="1"/>
  <c r="I109" i="9"/>
  <c r="E105" i="9"/>
  <c r="F105" i="9"/>
  <c r="G105" i="9"/>
  <c r="G107" i="9" s="1"/>
  <c r="G125" i="9" s="1"/>
  <c r="H105" i="9"/>
  <c r="H107" i="9" s="1"/>
  <c r="I105" i="9"/>
  <c r="I107" i="9" s="1"/>
  <c r="D113" i="9"/>
  <c r="D109" i="9"/>
  <c r="D105" i="9"/>
  <c r="D25" i="9"/>
  <c r="D27" i="9" s="1"/>
  <c r="D29" i="9" s="1"/>
  <c r="D30" i="9" s="1"/>
  <c r="E25" i="9"/>
  <c r="E27" i="9" s="1"/>
  <c r="E29" i="9" s="1"/>
  <c r="E30" i="9" s="1"/>
  <c r="F25" i="9"/>
  <c r="F27" i="9" s="1"/>
  <c r="F29" i="9" s="1"/>
  <c r="F30" i="9" s="1"/>
  <c r="G25" i="9"/>
  <c r="G27" i="9" s="1"/>
  <c r="G70" i="9" s="1"/>
  <c r="J22" i="2" s="1"/>
  <c r="H25" i="9"/>
  <c r="H27" i="9" s="1"/>
  <c r="H70" i="9" s="1"/>
  <c r="K22" i="2" s="1"/>
  <c r="I25" i="9"/>
  <c r="I27" i="9" s="1"/>
  <c r="I70" i="9" s="1"/>
  <c r="L22" i="2" s="1"/>
  <c r="C25" i="9"/>
  <c r="C27" i="9" s="1"/>
  <c r="D63" i="9"/>
  <c r="E63" i="9"/>
  <c r="F63" i="9"/>
  <c r="G63" i="9"/>
  <c r="H63" i="9"/>
  <c r="I63" i="9"/>
  <c r="C63" i="9"/>
  <c r="D57" i="9"/>
  <c r="E57" i="9"/>
  <c r="F57" i="9"/>
  <c r="C57" i="9"/>
  <c r="D51" i="9"/>
  <c r="E51" i="9"/>
  <c r="F51" i="9"/>
  <c r="G51" i="9"/>
  <c r="H51" i="9"/>
  <c r="I51" i="9"/>
  <c r="C51" i="9"/>
  <c r="D45" i="9"/>
  <c r="E45" i="9"/>
  <c r="F45" i="9"/>
  <c r="G45" i="9"/>
  <c r="H45" i="9"/>
  <c r="I45" i="9"/>
  <c r="C45" i="9"/>
  <c r="D39" i="9"/>
  <c r="D71" i="9" s="1"/>
  <c r="C39" i="9"/>
  <c r="C71" i="9" s="1"/>
  <c r="D20" i="9"/>
  <c r="E20" i="9"/>
  <c r="F20" i="9"/>
  <c r="G20" i="9"/>
  <c r="H20" i="9"/>
  <c r="I20" i="9"/>
  <c r="C20" i="9"/>
  <c r="D13" i="9"/>
  <c r="E13" i="9"/>
  <c r="F13" i="9"/>
  <c r="G13" i="9"/>
  <c r="H13" i="9"/>
  <c r="I13" i="9"/>
  <c r="C13" i="9"/>
  <c r="G13" i="2"/>
  <c r="H13" i="2"/>
  <c r="I13" i="2"/>
  <c r="J13" i="2"/>
  <c r="K13" i="2"/>
  <c r="L13" i="2"/>
  <c r="F13" i="2"/>
  <c r="H125" i="9" l="1"/>
  <c r="H126" i="9" s="1"/>
  <c r="H198" i="9"/>
  <c r="G126" i="9"/>
  <c r="G198" i="9"/>
  <c r="G220" i="9" s="1"/>
  <c r="I125" i="9"/>
  <c r="H65" i="9"/>
  <c r="G65" i="9"/>
  <c r="C65" i="9"/>
  <c r="C81" i="9" s="1"/>
  <c r="I65" i="9"/>
  <c r="I29" i="9"/>
  <c r="I30" i="9" s="1"/>
  <c r="E65" i="9"/>
  <c r="C29" i="9"/>
  <c r="C30" i="9" s="1"/>
  <c r="E80" i="9" s="1"/>
  <c r="C70" i="9"/>
  <c r="F65" i="9"/>
  <c r="H29" i="9"/>
  <c r="H30" i="9" s="1"/>
  <c r="G29" i="9"/>
  <c r="G30" i="9" s="1"/>
  <c r="D65" i="9"/>
  <c r="F70" i="9"/>
  <c r="E70" i="9"/>
  <c r="D70" i="9"/>
  <c r="I72" i="9" l="1"/>
  <c r="I73" i="9" s="1"/>
  <c r="I222" i="9"/>
  <c r="L33" i="2" s="1"/>
  <c r="H22" i="2"/>
  <c r="H25" i="2" s="1"/>
  <c r="H26" i="2" s="1"/>
  <c r="E220" i="9"/>
  <c r="I22" i="2"/>
  <c r="I25" i="2" s="1"/>
  <c r="I26" i="2" s="1"/>
  <c r="F220" i="9"/>
  <c r="H72" i="9"/>
  <c r="H73" i="9" s="1"/>
  <c r="H75" i="9" s="1"/>
  <c r="H222" i="9"/>
  <c r="K33" i="2" s="1"/>
  <c r="D72" i="9"/>
  <c r="D73" i="9" s="1"/>
  <c r="D222" i="9"/>
  <c r="G33" i="2" s="1"/>
  <c r="F72" i="9"/>
  <c r="F73" i="9" s="1"/>
  <c r="F75" i="9" s="1"/>
  <c r="F222" i="9"/>
  <c r="I33" i="2" s="1"/>
  <c r="H220" i="9"/>
  <c r="H201" i="9"/>
  <c r="K23" i="2"/>
  <c r="K25" i="2" s="1"/>
  <c r="K26" i="2" s="1"/>
  <c r="D220" i="9"/>
  <c r="G22" i="2"/>
  <c r="G25" i="2" s="1"/>
  <c r="G26" i="2" s="1"/>
  <c r="G72" i="9"/>
  <c r="G73" i="9" s="1"/>
  <c r="G222" i="9"/>
  <c r="J33" i="2" s="1"/>
  <c r="C220" i="9"/>
  <c r="C224" i="9" s="1"/>
  <c r="F22" i="2"/>
  <c r="F25" i="2" s="1"/>
  <c r="F26" i="2" s="1"/>
  <c r="I126" i="9"/>
  <c r="I198" i="9"/>
  <c r="G201" i="9"/>
  <c r="J23" i="2"/>
  <c r="J25" i="2" s="1"/>
  <c r="J26" i="2" s="1"/>
  <c r="E72" i="9"/>
  <c r="E222" i="9"/>
  <c r="H33" i="2" s="1"/>
  <c r="I75" i="9"/>
  <c r="C72" i="9"/>
  <c r="C73" i="9" s="1"/>
  <c r="E73" i="9"/>
  <c r="E75" i="9" s="1"/>
  <c r="D81" i="9"/>
  <c r="G75" i="9"/>
  <c r="F80" i="9"/>
  <c r="F81" i="9"/>
  <c r="F82" i="9" s="1"/>
  <c r="I81" i="9"/>
  <c r="C80" i="9"/>
  <c r="C82" i="9" s="1"/>
  <c r="E81" i="9"/>
  <c r="E82" i="9" s="1"/>
  <c r="D80" i="9"/>
  <c r="G80" i="9"/>
  <c r="I80" i="9"/>
  <c r="H80" i="9"/>
  <c r="G81" i="9"/>
  <c r="H81" i="9"/>
  <c r="F224" i="9" l="1"/>
  <c r="E224" i="9"/>
  <c r="I201" i="9"/>
  <c r="L23" i="2"/>
  <c r="L25" i="2" s="1"/>
  <c r="L26" i="2" s="1"/>
  <c r="I220" i="9"/>
  <c r="I224" i="9" s="1"/>
  <c r="C225" i="9"/>
  <c r="F36" i="2" s="1"/>
  <c r="F35" i="2"/>
  <c r="I35" i="2"/>
  <c r="F225" i="9"/>
  <c r="I36" i="2" s="1"/>
  <c r="D224" i="9"/>
  <c r="H35" i="2"/>
  <c r="E225" i="9"/>
  <c r="H36" i="2" s="1"/>
  <c r="H224" i="9"/>
  <c r="G224" i="9"/>
  <c r="I82" i="9"/>
  <c r="D75" i="9"/>
  <c r="D76" i="9"/>
  <c r="D82" i="9"/>
  <c r="C76" i="9"/>
  <c r="C75" i="9"/>
  <c r="C77" i="9"/>
  <c r="H82" i="9"/>
  <c r="G82" i="9"/>
  <c r="J35" i="2" l="1"/>
  <c r="G225" i="9"/>
  <c r="J36" i="2" s="1"/>
  <c r="K35" i="2"/>
  <c r="H225" i="9"/>
  <c r="K36" i="2" s="1"/>
  <c r="D225" i="9"/>
  <c r="G36" i="2" s="1"/>
  <c r="G35" i="2"/>
  <c r="L35" i="2"/>
  <c r="I225" i="9"/>
  <c r="L36" i="2" s="1"/>
</calcChain>
</file>

<file path=xl/sharedStrings.xml><?xml version="1.0" encoding="utf-8"?>
<sst xmlns="http://schemas.openxmlformats.org/spreadsheetml/2006/main" count="392" uniqueCount="342">
  <si>
    <t>TOYOTA U.S. TARIFF ANALYSIS - MODEL ASSUMPTIONS</t>
  </si>
  <si>
    <t>Tariff Policy</t>
  </si>
  <si>
    <t>Tariff Rate</t>
  </si>
  <si>
    <t>200% on automotive equipment</t>
  </si>
  <si>
    <t>Effective Date</t>
  </si>
  <si>
    <t>1-Jan-2026</t>
  </si>
  <si>
    <t>Policy Duration</t>
  </si>
  <si>
    <t>5+ years</t>
  </si>
  <si>
    <t>Assumed permanent</t>
  </si>
  <si>
    <t>U.S. Market Data</t>
  </si>
  <si>
    <t>Total U.S. Market 2024 (units)</t>
  </si>
  <si>
    <t>Toyota U.S. Sales 2024 (units)</t>
  </si>
  <si>
    <t>Toyota Market Share</t>
  </si>
  <si>
    <t>Market Growth Rate (BAU)</t>
  </si>
  <si>
    <t>Annual baseline growth</t>
  </si>
  <si>
    <t>Price Elasticity of Demand</t>
  </si>
  <si>
    <t>% volume change per 1% price increase</t>
  </si>
  <si>
    <t>Toyota Product Mix - U.S.</t>
  </si>
  <si>
    <t>% Imported from Japan</t>
  </si>
  <si>
    <t>Prius, 4Runner, Lexus GX/LX/LS</t>
  </si>
  <si>
    <t>% Made in USA</t>
  </si>
  <si>
    <t>Pricing &amp; Costs (JPY '000)</t>
  </si>
  <si>
    <t>ASP - Imported Vehicle</t>
  </si>
  <si>
    <t>ASP - US-Made Vehicle</t>
  </si>
  <si>
    <t>Cost - Imported (landed)</t>
  </si>
  <si>
    <t>Cost - US-Made</t>
  </si>
  <si>
    <t>Dealer Margin</t>
  </si>
  <si>
    <t>Target Operating Margin</t>
  </si>
  <si>
    <t>Strategic Response</t>
  </si>
  <si>
    <t>CapEx per New Plant (JPY M)</t>
  </si>
  <si>
    <t>Time to Build</t>
  </si>
  <si>
    <t>3 years</t>
  </si>
  <si>
    <t>Plant Capacity (units/year)</t>
  </si>
  <si>
    <t>Comprehensive Revenue &amp; Cost Drivers (JPY Millions)</t>
  </si>
  <si>
    <t>Toyota U.S. Strategic Revenue &amp; Cost Model (JPY Millions)</t>
  </si>
  <si>
    <t>Historical</t>
  </si>
  <si>
    <t>Projected</t>
  </si>
  <si>
    <t>2023</t>
  </si>
  <si>
    <t>2024</t>
  </si>
  <si>
    <t>2025</t>
  </si>
  <si>
    <t>2026</t>
  </si>
  <si>
    <t>2027</t>
  </si>
  <si>
    <t>2028</t>
  </si>
  <si>
    <t>2029</t>
  </si>
  <si>
    <t>2030</t>
  </si>
  <si>
    <t>2035</t>
  </si>
  <si>
    <t>2040</t>
  </si>
  <si>
    <t>Baseline Scenario (With 200% Tariff Impact)</t>
  </si>
  <si>
    <t>Total Global Revenue (U.S. Market)</t>
  </si>
  <si>
    <t>Annual Growth Rate (%)</t>
  </si>
  <si>
    <t>Revenue Loss vs. No-Tariff Scenario</t>
  </si>
  <si>
    <t>Total Revenue Recovery</t>
  </si>
  <si>
    <t>% of Baseline Revenue Protected</t>
  </si>
  <si>
    <t>Total Capital &amp; Operating Investment</t>
  </si>
  <si>
    <t>Total CapEx (All Phases)</t>
  </si>
  <si>
    <t>Total OpEx (All Phases)</t>
  </si>
  <si>
    <t>Net Revenue After Investment</t>
  </si>
  <si>
    <t>EBIT Margin on Recovery</t>
  </si>
  <si>
    <t>TOYOTA CONSOLIDATED FINANCIALS (JPY Millions)</t>
  </si>
  <si>
    <t>Fiscal Year Ending March 31</t>
  </si>
  <si>
    <t>FY2021</t>
  </si>
  <si>
    <t>FY2022</t>
  </si>
  <si>
    <t>FY2023</t>
  </si>
  <si>
    <t>FY2024</t>
  </si>
  <si>
    <t>FY2025</t>
  </si>
  <si>
    <t>LTM Dec-25</t>
  </si>
  <si>
    <t>Total Revenue</t>
  </si>
  <si>
    <t>Growth %</t>
  </si>
  <si>
    <t>Gross Profit</t>
  </si>
  <si>
    <t>Gross Margin %</t>
  </si>
  <si>
    <t>EBIT</t>
  </si>
  <si>
    <t>EBIT Margin %</t>
  </si>
  <si>
    <t>Net Income</t>
  </si>
  <si>
    <t>Net Margin %</t>
  </si>
  <si>
    <t>BUSINESS AS USUAL - NO TARIFF SCENARIO (JPY Millions)</t>
  </si>
  <si>
    <t>Projection (BAU Scenario)</t>
  </si>
  <si>
    <t>2026E</t>
  </si>
  <si>
    <t>2027E</t>
  </si>
  <si>
    <t>2028E</t>
  </si>
  <si>
    <t>2029E</t>
  </si>
  <si>
    <t>2030E</t>
  </si>
  <si>
    <t>North America Revenue (32%)</t>
  </si>
  <si>
    <t xml:space="preserve">  - US Market (90% of NA)</t>
  </si>
  <si>
    <t xml:space="preserve">  - Imported from Japan (30%)</t>
  </si>
  <si>
    <t xml:space="preserve">  - Made in USA (70%)</t>
  </si>
  <si>
    <t>Rest of World (68%)</t>
  </si>
  <si>
    <t>TARIFF IMPACT CALCULATION - REPRESENTATIVE VEHICLE (JPY '000)</t>
  </si>
  <si>
    <t>Cost Component</t>
  </si>
  <si>
    <t>Import (Pre)</t>
  </si>
  <si>
    <t>Import (Post)</t>
  </si>
  <si>
    <t>US-Made</t>
  </si>
  <si>
    <t>Delta</t>
  </si>
  <si>
    <t>Manufacturing Cost</t>
  </si>
  <si>
    <t>Logistics</t>
  </si>
  <si>
    <t>Landed Cost</t>
  </si>
  <si>
    <t>Import Tariff (200%)</t>
  </si>
  <si>
    <t>Total Cost Basis</t>
  </si>
  <si>
    <t>Selling Price (w/ margins)</t>
  </si>
  <si>
    <t>Price Increase</t>
  </si>
  <si>
    <t>Volume Impact</t>
  </si>
  <si>
    <t>Expected Volume Change</t>
  </si>
  <si>
    <t>Conclusion:</t>
  </si>
  <si>
    <t>Imported vehicles become UNMARKETABLE</t>
  </si>
  <si>
    <t>Customers shift to US-made or competitors</t>
  </si>
  <si>
    <t>5-YEAR TARIFF IMPACT PROJECTION (JPY Millions)</t>
  </si>
  <si>
    <t>Scenario: Full Tariff Applied, No Strategic Response</t>
  </si>
  <si>
    <t>Metrics</t>
  </si>
  <si>
    <t>2025A</t>
  </si>
  <si>
    <t>U.S. SALES VOLUME (Units)</t>
  </si>
  <si>
    <t>Total Toyota U.S. Sales</t>
  </si>
  <si>
    <t xml:space="preserve">  - Imported from Japan</t>
  </si>
  <si>
    <t xml:space="preserve">  - Made in USA</t>
  </si>
  <si>
    <t>Volume Change vs BAU</t>
  </si>
  <si>
    <t>Total Volume Change</t>
  </si>
  <si>
    <t>Import Volume Change</t>
  </si>
  <si>
    <t>US-Made Volume Change</t>
  </si>
  <si>
    <t>U.S. REVENUE (JPY Millions)</t>
  </si>
  <si>
    <t>Revenue - Imported</t>
  </si>
  <si>
    <t>Revenue - US-Made</t>
  </si>
  <si>
    <t>Total U.S. Revenue</t>
  </si>
  <si>
    <t>Global Revenue</t>
  </si>
  <si>
    <t>U.S. as % of Global</t>
  </si>
  <si>
    <t>Total Global Revenue</t>
  </si>
  <si>
    <t>PROFITABILITY IMPACT</t>
  </si>
  <si>
    <t>Operating Margin - Normal</t>
  </si>
  <si>
    <t>Operating Margin - Actual</t>
  </si>
  <si>
    <t>Margin Compression</t>
  </si>
  <si>
    <t>EBIT Loss vs BAU</t>
  </si>
  <si>
    <t>Net Income Loss vs BAU</t>
  </si>
  <si>
    <t>CUMULATIVE 5-YEAR IMPACT</t>
  </si>
  <si>
    <t>Total EBIT Lost (2026-2030)</t>
  </si>
  <si>
    <t>Total Net Income Lost</t>
  </si>
  <si>
    <t>STRATEGIC RESPONSE SCENARIOS - 5 YEAR NPV COMPARISON</t>
  </si>
  <si>
    <t>Scenario</t>
  </si>
  <si>
    <t>Year 1</t>
  </si>
  <si>
    <t>Year 2</t>
  </si>
  <si>
    <t>Year 3</t>
  </si>
  <si>
    <t>Year 4</t>
  </si>
  <si>
    <t>Year 5</t>
  </si>
  <si>
    <t>5Yr NPV</t>
  </si>
  <si>
    <t>A. DO NOTHING (Base Case)</t>
  </si>
  <si>
    <t>EBIT Impact (JPY M)</t>
  </si>
  <si>
    <t>CapEx Required</t>
  </si>
  <si>
    <t>Net Cash Impact</t>
  </si>
  <si>
    <t>B. RELOCATE PRODUCTION</t>
  </si>
  <si>
    <t>EBIT Impact (reduced)</t>
  </si>
  <si>
    <t>CapEx (2 new plants)</t>
  </si>
  <si>
    <t>NPV Advantage vs Base</t>
  </si>
  <si>
    <t>C. MARKET EXIT</t>
  </si>
  <si>
    <t>EBIT Impact</t>
  </si>
  <si>
    <t>D. ABSORB TARIFF</t>
  </si>
  <si>
    <t>EBIT Impact (negative)</t>
  </si>
  <si>
    <t>NPV vs Base</t>
  </si>
  <si>
    <t>RECOMMENDED: B. RELOCATE PRODUCTION</t>
  </si>
  <si>
    <t>All figures in JPY Millions unless otherwise noted</t>
  </si>
  <si>
    <t>PRODUCTION CAPACITY UTILIZATION</t>
  </si>
  <si>
    <t>MTM Plant Current Capacity (units)</t>
  </si>
  <si>
    <t xml:space="preserve">  - Toyota allocated capacity</t>
  </si>
  <si>
    <t xml:space="preserve">  - Mazda unused line capacity (available)</t>
  </si>
  <si>
    <t>Additional 3rd shift capacity (units)</t>
  </si>
  <si>
    <t>Total available capacity for RAV4 Prime</t>
  </si>
  <si>
    <t>PRODUCTION VOLUME STRATEGY</t>
  </si>
  <si>
    <t>RAV4 Prime units shifted from Japan</t>
  </si>
  <si>
    <t xml:space="preserve">  - Via Mazda spare capacity lease</t>
  </si>
  <si>
    <t xml:space="preserve">  - Via 3rd shift expansion</t>
  </si>
  <si>
    <t>Current Corolla/Corolla Cross (maintain)</t>
  </si>
  <si>
    <t>Total MTM production volume</t>
  </si>
  <si>
    <t>REVENUE DRIVERS (RAV4 Prime only)</t>
  </si>
  <si>
    <t>Annual units produced</t>
  </si>
  <si>
    <t>Gross Revenue Generated</t>
  </si>
  <si>
    <t>200% Tariff Avoided (alternative scenario)</t>
  </si>
  <si>
    <t>Effective Revenue Protected</t>
  </si>
  <si>
    <t>CAPITAL EXPENDITURE (One-Time)</t>
  </si>
  <si>
    <t>Mazda capacity lease agreement (2-year)</t>
  </si>
  <si>
    <t>Plug-in hybrid battery assembly line</t>
  </si>
  <si>
    <t>Additional stamping/welding tooling</t>
  </si>
  <si>
    <t>3rd shift infrastructure setup</t>
  </si>
  <si>
    <t>Battery logistics integration (NC plant)</t>
  </si>
  <si>
    <t>Training facilities &amp; equipment</t>
  </si>
  <si>
    <t>Total CapEx</t>
  </si>
  <si>
    <t>OPERATING COSTS (Annual)</t>
  </si>
  <si>
    <t>Direct Labor</t>
  </si>
  <si>
    <t xml:space="preserve">  - New hires for RAV4 Prime production</t>
  </si>
  <si>
    <t xml:space="preserve">  - Average annual cost per worker (¥M)</t>
  </si>
  <si>
    <t xml:space="preserve">  - Total labor cost</t>
  </si>
  <si>
    <t>Supply Chain &amp; Logistics</t>
  </si>
  <si>
    <t xml:space="preserve">  - Battery pack shipping (NC to AL)</t>
  </si>
  <si>
    <t xml:space="preserve">  - Hybrid powertrain components</t>
  </si>
  <si>
    <t xml:space="preserve">  - Quality control &amp; inspection</t>
  </si>
  <si>
    <t xml:space="preserve">  - Total supply chain costs</t>
  </si>
  <si>
    <t>Training &amp; Ramp-Up</t>
  </si>
  <si>
    <t xml:space="preserve">  - Workforce training program</t>
  </si>
  <si>
    <t xml:space="preserve">  - TPS implementation specialists</t>
  </si>
  <si>
    <t xml:space="preserve">  - Production ramp-up inefficiencies</t>
  </si>
  <si>
    <t xml:space="preserve">  - Total training &amp; ramp-up</t>
  </si>
  <si>
    <t>Other Operating Costs</t>
  </si>
  <si>
    <t xml:space="preserve">  - Mazda capacity lease (annual fee)</t>
  </si>
  <si>
    <t xml:space="preserve">  - Technology licensing (plug-in hybrid)</t>
  </si>
  <si>
    <t xml:space="preserve">  - Equipment maintenance &amp; upgrades</t>
  </si>
  <si>
    <t xml:space="preserve">  - Total other costs</t>
  </si>
  <si>
    <t>Total Operating Expenses</t>
  </si>
  <si>
    <t>═══ FINANCIAL SUMMARY ═══</t>
  </si>
  <si>
    <t>Gross Revenue (RAV4 Prime)</t>
  </si>
  <si>
    <t>Less: Total CapEx</t>
  </si>
  <si>
    <t>Less: Total OpEx</t>
  </si>
  <si>
    <t>NET CONTRIBUTION TO EBIT</t>
  </si>
  <si>
    <t>ROI on CapEx (Year 1 basis)</t>
  </si>
  <si>
    <t>Payback Period (months)</t>
  </si>
  <si>
    <t>CUMULATIVE ANALYSIS (including interim years)</t>
  </si>
  <si>
    <t>Cumulative Revenue Protected</t>
  </si>
  <si>
    <t>Cumulative Total Investment</t>
  </si>
  <si>
    <t>Cumulative Net Benefit</t>
  </si>
  <si>
    <t>═══ KEY PERFORMANCE METRICS ═══</t>
  </si>
  <si>
    <t>Revenue per Unit (¥M)</t>
  </si>
  <si>
    <t>NET PHASE 2 CONTRIBUTION</t>
  </si>
  <si>
    <t>Total Revenue (All Phases)</t>
  </si>
  <si>
    <t>Total CapEx Investment</t>
  </si>
  <si>
    <t>Total OpEx</t>
  </si>
  <si>
    <t>COMBINED NET EBIT</t>
  </si>
  <si>
    <t>Camry, Tacoma, Highlander</t>
  </si>
  <si>
    <t>Impact Note: Tariff causes PERMANENT revenue loss - 2026 onward shows 42% sustained reduction vs. no-tariff baseline</t>
  </si>
  <si>
    <t>Assumption: Production Shifting had no hiccup</t>
  </si>
  <si>
    <t>Assumption : Selling Price remains stagnant throughout years</t>
  </si>
  <si>
    <t>Assumption: no increase in production</t>
  </si>
  <si>
    <t>Assumption: 200% tariff stagnant</t>
  </si>
  <si>
    <t>Assumption : Both Parties agreed</t>
  </si>
  <si>
    <t>Assumption : Wages are stagnant</t>
  </si>
  <si>
    <t>Years</t>
  </si>
  <si>
    <t>Average Selling Price - RAV4 Prime (USD)</t>
  </si>
  <si>
    <t>USD/JPY Rate</t>
  </si>
  <si>
    <t>Assumption ; USD/JPY rate remains constant over years</t>
  </si>
  <si>
    <t>Average Selling Price - RAV4 Prime (¥000,000)</t>
  </si>
  <si>
    <t>═══ COMBINED 2-PHASE TOTALS ═══</t>
  </si>
  <si>
    <t>BUILD</t>
  </si>
  <si>
    <t>MTM FACILITY EXPANSION STRATEGY</t>
  </si>
  <si>
    <t>Original MTM capacity (Phase 1)</t>
  </si>
  <si>
    <t>Phase 2 expansion - additional capacity</t>
  </si>
  <si>
    <t>TOTAL MTM CAPACITY</t>
  </si>
  <si>
    <t>PHASE 2 PRODUCTION VOLUME (Units)</t>
  </si>
  <si>
    <t>Prius/Prius Prime</t>
  </si>
  <si>
    <t>GR Corolla</t>
  </si>
  <si>
    <t>4Runner</t>
  </si>
  <si>
    <t>Lexus GX</t>
  </si>
  <si>
    <t>Additional Corolla variants</t>
  </si>
  <si>
    <t>Total Phase 2 production volume</t>
  </si>
  <si>
    <t>Combined facility utilization</t>
  </si>
  <si>
    <t>% of total capacity utilized</t>
  </si>
  <si>
    <t>REVENUE DRIVERS - By Model</t>
  </si>
  <si>
    <t>Prius/Prius Prime - Units</t>
  </si>
  <si>
    <t>Prius/Prius Prime - Revenue</t>
  </si>
  <si>
    <t>GR Corolla - Units</t>
  </si>
  <si>
    <t>GR Corolla - Revenue</t>
  </si>
  <si>
    <t>4Runner - Units</t>
  </si>
  <si>
    <t>4Runner - Revenue</t>
  </si>
  <si>
    <t>Lexus GX - Units</t>
  </si>
  <si>
    <t>Lexus GX - Revenue</t>
  </si>
  <si>
    <t>Additional Corolla variants - Units</t>
  </si>
  <si>
    <t>Additional Corolla variants - Revenue</t>
  </si>
  <si>
    <t>TOTAL PHASE 2 REVENUE</t>
  </si>
  <si>
    <t>200% Tariff avoided (alternative)</t>
  </si>
  <si>
    <t>CAPITAL EXPENDITURE - Construction Timeline</t>
  </si>
  <si>
    <t>NOTE: All CapEx occurs during 2027-2030 build phase</t>
  </si>
  <si>
    <t>YEAR 2027 - Initial Construction</t>
  </si>
  <si>
    <t>Site preparation &amp; foundation</t>
  </si>
  <si>
    <t>Building structure (partial)</t>
  </si>
  <si>
    <t>Initial equipment orders</t>
  </si>
  <si>
    <t>Infrastructure (utilities, roads)</t>
  </si>
  <si>
    <t>Year 2027 Total CapEx</t>
  </si>
  <si>
    <t>YEAR 2028 - Core Construction</t>
  </si>
  <si>
    <t>Building completion</t>
  </si>
  <si>
    <t>Production line installation (TNGA-C)</t>
  </si>
  <si>
    <t>Production line installation (Body-on-frame)</t>
  </si>
  <si>
    <t>Stamping &amp; paint shop expansion</t>
  </si>
  <si>
    <t>Year 2028 Total CapEx</t>
  </si>
  <si>
    <t>YEAR 2029 - Final Installation &amp; Testing</t>
  </si>
  <si>
    <t>Equipment installation &amp; testing</t>
  </si>
  <si>
    <t>Quality control systems</t>
  </si>
  <si>
    <t>IT &amp; automation systems</t>
  </si>
  <si>
    <t>Workforce training &amp; ramp prep</t>
  </si>
  <si>
    <t>Contingency &amp; final adjustments</t>
  </si>
  <si>
    <t>Year 2029 Total CapEx</t>
  </si>
  <si>
    <t>TOTAL PHASE 2 CAPEX</t>
  </si>
  <si>
    <t>Cumulative CapEx</t>
  </si>
  <si>
    <t>OPERATING EXPENSES - Annual</t>
  </si>
  <si>
    <t>NOTE: OpEx begins in 2030 when production starts</t>
  </si>
  <si>
    <t>Production workers (scales with volume)</t>
  </si>
  <si>
    <t>Quality control &amp; inspection</t>
  </si>
  <si>
    <t>Maintenance &amp; tooling staff</t>
  </si>
  <si>
    <t>Total labor cost</t>
  </si>
  <si>
    <t>Materials &amp; Components (scales with volume)</t>
  </si>
  <si>
    <t>Raw materials (steel, aluminum)</t>
  </si>
  <si>
    <t>Powertrain components</t>
  </si>
  <si>
    <t>Electronics &amp; infotainment</t>
  </si>
  <si>
    <t>Interior, glass, tires &amp; other</t>
  </si>
  <si>
    <t>Total materials cost</t>
  </si>
  <si>
    <t>Facility Operations</t>
  </si>
  <si>
    <t>Utilities (electricity, water, gas)</t>
  </si>
  <si>
    <t>Building &amp; equipment maintenance</t>
  </si>
  <si>
    <t>Property taxes &amp; insurance</t>
  </si>
  <si>
    <t>Total facility operations</t>
  </si>
  <si>
    <t>Logistics &amp; Supply Chain</t>
  </si>
  <si>
    <t>Inbound logistics (components)</t>
  </si>
  <si>
    <t>Outbound logistics (vehicles)</t>
  </si>
  <si>
    <t>Inventory management</t>
  </si>
  <si>
    <t>Total logistics cost</t>
  </si>
  <si>
    <t>Training &amp; Ramp-Up (declines over time)</t>
  </si>
  <si>
    <t>Workforce training programs</t>
  </si>
  <si>
    <t>Production ramp inefficiencies</t>
  </si>
  <si>
    <t>Total training &amp; ramp-up</t>
  </si>
  <si>
    <t>Technology licensing</t>
  </si>
  <si>
    <t>Mazda partnership fees</t>
  </si>
  <si>
    <t>Administrative overhead</t>
  </si>
  <si>
    <t>Total other costs</t>
  </si>
  <si>
    <t>TOTAL PHASE 2 OPEX</t>
  </si>
  <si>
    <t>Total Phase 2 Revenue</t>
  </si>
  <si>
    <t>Less: CapEx (construction phase)</t>
  </si>
  <si>
    <t>Less: OpEx (production phase)</t>
  </si>
  <si>
    <t>N/A</t>
  </si>
  <si>
    <t>Construction vs Production Phase</t>
  </si>
  <si>
    <t>OPERATE</t>
  </si>
  <si>
    <t>CUMULATIVE ANALYSIS (including all interim years)</t>
  </si>
  <si>
    <t>Cumulative Revenue</t>
  </si>
  <si>
    <t>Cumulative Investment (CapEx + OpEx)</t>
  </si>
  <si>
    <t>Cumulative Net EBIT</t>
  </si>
  <si>
    <t>Production Status</t>
  </si>
  <si>
    <t>Construction</t>
  </si>
  <si>
    <t>Ramp-up</t>
  </si>
  <si>
    <t>Full Capacity</t>
  </si>
  <si>
    <t>Annual CapEx (¥M)</t>
  </si>
  <si>
    <t>Annual OpEx (¥M)</t>
  </si>
  <si>
    <t>Prius/Prius Prime - ASP (¥ 000,000)</t>
  </si>
  <si>
    <t>GR Corolla - ASP (¥ 000,000)</t>
  </si>
  <si>
    <t>4Runner - ASP (¥ 000,000)</t>
  </si>
  <si>
    <t>Lexus GX - ASP (¥ 000,000)</t>
  </si>
  <si>
    <t>Additional Corolla variants - ASP (¥ 000,000)</t>
  </si>
  <si>
    <t>RAV4 PRIME PRODUCTION SHIFT TO USA</t>
  </si>
  <si>
    <t>PHASE 2: Long-Term: 2030+</t>
  </si>
  <si>
    <t>Phase 1: RAV4 Prime (2026+)</t>
  </si>
  <si>
    <t>Phase 2: Standalone Plant (2030+)</t>
  </si>
  <si>
    <t>Strategic Response: 2-Phase Production Relocation</t>
  </si>
  <si>
    <t xml:space="preserve">TOYOTA U.S. TARIFF RESPONSE </t>
  </si>
  <si>
    <t>PHASE 1: THE MAZDA Partnership (Short-Term: 2026-2030+)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</si>
</sst>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57" x14ac:knownFonts="1">
    <font>
      <sz val="11"/>
      <color theme="1"/>
      <name val="Calibri"/>
      <family val="2"/>
      <scheme val="minor"/>
    </font>
    <font>
      <b/>
      <sz val="14"/>
      <color rgb="FF366092"/>
      <name val="Calibri"/>
    </font>
    <font>
      <b/>
      <sz val="10"/>
      <name val="Calibri"/>
    </font>
    <font>
      <sz val="10"/>
      <name val="Calibri"/>
    </font>
    <font>
      <i/>
      <sz val="9"/>
      <color rgb="FF666666"/>
      <name val="Calibri"/>
    </font>
    <font>
      <b/>
      <sz val="13"/>
      <color rgb="FF366092"/>
      <name val="Calibri"/>
    </font>
    <font>
      <b/>
      <sz val="11"/>
      <color rgb="FFFFFFFF"/>
      <name val="Calibri"/>
    </font>
    <font>
      <b/>
      <sz val="11"/>
      <name val="Calibri"/>
    </font>
    <font>
      <i/>
      <sz val="11"/>
      <name val="Calibri"/>
    </font>
    <font>
      <b/>
      <sz val="11"/>
      <color rgb="FFC00000"/>
      <name val="Calibri"/>
    </font>
    <font>
      <i/>
      <sz val="10"/>
      <color rgb="FFC00000"/>
      <name val="Calibri"/>
    </font>
    <font>
      <i/>
      <sz val="9"/>
      <name val="Calibri"/>
    </font>
    <font>
      <b/>
      <sz val="11"/>
      <color rgb="FF9C0006"/>
      <name val="Calibri"/>
    </font>
    <font>
      <sz val="11"/>
      <color rgb="FFC00000"/>
      <name val="Calibri"/>
    </font>
    <font>
      <b/>
      <sz val="11"/>
      <color rgb="FF366092"/>
      <name val="Calibri"/>
    </font>
    <font>
      <sz val="11"/>
      <color rgb="FF9C0006"/>
      <name val="Calibri"/>
    </font>
    <font>
      <sz val="11"/>
      <color rgb="FF006100"/>
      <name val="Calibri"/>
    </font>
    <font>
      <b/>
      <sz val="12"/>
      <color rgb="FFFFFFFF"/>
      <name val="Calibri"/>
    </font>
    <font>
      <b/>
      <sz val="10"/>
      <color rgb="FFFFFFFF"/>
      <name val="Calibri"/>
    </font>
    <font>
      <b/>
      <sz val="11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2"/>
      <name val="Calibri"/>
    </font>
    <font>
      <i/>
      <sz val="10"/>
      <name val="Calibri"/>
    </font>
    <font>
      <b/>
      <sz val="10"/>
      <color rgb="FF0070C0"/>
      <name val="Calibri"/>
    </font>
    <font>
      <sz val="10"/>
      <color rgb="FF0070C0"/>
      <name val="Calibri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1"/>
      <color theme="3"/>
      <name val="Calibri"/>
      <family val="2"/>
      <scheme val="minor"/>
    </font>
    <font>
      <b/>
      <i/>
      <sz val="10"/>
      <color rgb="FFFFFFFF"/>
      <name val="Calibri"/>
      <family val="2"/>
    </font>
    <font>
      <b/>
      <sz val="11"/>
      <color theme="0"/>
      <name val="Calibri"/>
      <family val="2"/>
    </font>
    <font>
      <b/>
      <sz val="13"/>
      <color theme="3"/>
      <name val="Calibri"/>
      <family val="2"/>
    </font>
    <font>
      <sz val="10"/>
      <color theme="1"/>
      <name val="Calibri"/>
      <family val="2"/>
    </font>
    <font>
      <sz val="11"/>
      <color theme="4"/>
      <name val="Calibri"/>
      <family val="2"/>
      <scheme val="minor"/>
    </font>
    <font>
      <b/>
      <sz val="10"/>
      <color theme="4"/>
      <name val="Calibri"/>
      <family val="2"/>
    </font>
    <font>
      <b/>
      <sz val="10"/>
      <color theme="1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b/>
      <i/>
      <sz val="10"/>
      <color rgb="FF666666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3"/>
      <color rgb="FFFFFFFF"/>
      <name val="Calibri"/>
      <family val="2"/>
    </font>
    <font>
      <b/>
      <sz val="12"/>
      <color rgb="FFFFFFFF"/>
      <name val="Calibri"/>
      <family val="2"/>
    </font>
    <font>
      <b/>
      <sz val="14"/>
      <color rgb="FFFFFFFF"/>
      <name val="Calibri"/>
      <family val="2"/>
    </font>
    <font>
      <b/>
      <sz val="10"/>
      <color rgb="FFED7D31"/>
      <name val="Calibri"/>
      <family val="2"/>
    </font>
    <font>
      <b/>
      <sz val="10"/>
      <color rgb="FF0070C0"/>
      <name val="Calibri"/>
      <family val="2"/>
    </font>
    <font>
      <i/>
      <sz val="9"/>
      <color rgb="FFC65911"/>
      <name val="Calibri"/>
      <family val="2"/>
    </font>
    <font>
      <i/>
      <sz val="11"/>
      <color rgb="FF666666"/>
      <name val="Calibri"/>
      <family val="2"/>
    </font>
    <font>
      <b/>
      <sz val="11"/>
      <color rgb="FFED7D31"/>
      <name val="Calibri"/>
      <family val="2"/>
    </font>
    <font>
      <b/>
      <sz val="10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2"/>
      <color rgb="FF70AD47"/>
      <name val="Calibri"/>
      <family val="2"/>
    </font>
    <font>
      <b/>
      <sz val="16"/>
      <color rgb="FFFFFFFF"/>
      <name val="Calibri"/>
      <family val="2"/>
    </font>
    <font>
      <b/>
      <sz val="24"/>
      <color rgb="FFFFFFFF"/>
      <name val="Calibri"/>
      <family val="2"/>
    </font>
    <font>
      <b/>
      <sz val="10"/>
      <color rgb="FF375623"/>
      <name val="Calibri"/>
      <family val="2"/>
    </font>
    <font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385723"/>
        <bgColor rgb="FF385723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FFE699"/>
        <bgColor rgb="FFFFE699"/>
      </patternFill>
    </fill>
    <fill>
      <patternFill patternType="solid">
        <fgColor rgb="FF203764"/>
        <bgColor rgb="FF203764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C00000"/>
      </patternFill>
    </fill>
    <fill>
      <patternFill patternType="solid">
        <fgColor rgb="FFFFC7CE"/>
        <bgColor rgb="FFFFC7CE"/>
      </patternFill>
    </fill>
    <fill>
      <patternFill patternType="solid">
        <fgColor theme="6" tint="-0.249977111117893"/>
        <bgColor rgb="FF70AD47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rgb="FFFFC000"/>
      </patternFill>
    </fill>
    <fill>
      <patternFill patternType="solid">
        <fgColor theme="6" tint="-0.249977111117893"/>
        <bgColor rgb="FFFFC000"/>
      </patternFill>
    </fill>
    <fill>
      <patternFill patternType="solid">
        <fgColor theme="3"/>
        <bgColor rgb="FF366092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C65911"/>
        <bgColor rgb="FFC65911"/>
      </patternFill>
    </fill>
    <fill>
      <patternFill patternType="solid">
        <fgColor rgb="FFFFF2CC"/>
        <bgColor rgb="FFD9D9D9"/>
      </patternFill>
    </fill>
    <fill>
      <patternFill patternType="solid">
        <fgColor rgb="FFFFFF00"/>
        <bgColor rgb="FFC65911"/>
      </patternFill>
    </fill>
    <fill>
      <patternFill patternType="solid">
        <fgColor rgb="FFFFFF00"/>
        <bgColor rgb="FF385723"/>
      </patternFill>
    </fill>
    <fill>
      <patternFill patternType="solid">
        <fgColor theme="3"/>
        <bgColor rgb="FF375623"/>
      </patternFill>
    </fill>
    <fill>
      <patternFill patternType="solid">
        <fgColor theme="3"/>
        <bgColor rgb="FF70AD47"/>
      </patternFill>
    </fill>
    <fill>
      <patternFill patternType="solid">
        <fgColor theme="3"/>
        <bgColor rgb="FF1F4E78"/>
      </patternFill>
    </fill>
    <fill>
      <patternFill patternType="solid">
        <fgColor theme="3"/>
        <bgColor rgb="FF203764"/>
      </patternFill>
    </fill>
    <fill>
      <patternFill patternType="solid">
        <fgColor rgb="FFED7D31"/>
        <bgColor rgb="FF70AD47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2" borderId="0" xfId="0" applyFont="1" applyFill="1"/>
    <xf numFmtId="0" fontId="3" fillId="0" borderId="0" xfId="0" applyFont="1"/>
    <xf numFmtId="164" fontId="0" fillId="0" borderId="0" xfId="0" applyNumberFormat="1"/>
    <xf numFmtId="0" fontId="4" fillId="0" borderId="0" xfId="0" applyFont="1"/>
    <xf numFmtId="3" fontId="0" fillId="0" borderId="0" xfId="0" applyNumberFormat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/>
    <xf numFmtId="9" fontId="0" fillId="0" borderId="0" xfId="0" applyNumberFormat="1"/>
    <xf numFmtId="0" fontId="11" fillId="0" borderId="0" xfId="0" applyFont="1"/>
    <xf numFmtId="0" fontId="12" fillId="0" borderId="0" xfId="0" applyFont="1"/>
    <xf numFmtId="3" fontId="13" fillId="0" borderId="0" xfId="0" applyNumberFormat="1" applyFont="1"/>
    <xf numFmtId="3" fontId="15" fillId="0" borderId="0" xfId="0" applyNumberFormat="1" applyFont="1"/>
    <xf numFmtId="3" fontId="16" fillId="0" borderId="0" xfId="0" applyNumberFormat="1" applyFont="1"/>
    <xf numFmtId="0" fontId="2" fillId="0" borderId="0" xfId="0" applyFont="1"/>
    <xf numFmtId="0" fontId="19" fillId="0" borderId="0" xfId="0" applyFont="1"/>
    <xf numFmtId="0" fontId="6" fillId="7" borderId="0" xfId="0" applyFont="1" applyFill="1"/>
    <xf numFmtId="0" fontId="6" fillId="8" borderId="0" xfId="0" applyFont="1" applyFill="1" applyAlignment="1">
      <alignment horizontal="center"/>
    </xf>
    <xf numFmtId="0" fontId="23" fillId="0" borderId="0" xfId="0" applyFont="1"/>
    <xf numFmtId="10" fontId="0" fillId="0" borderId="0" xfId="0" applyNumberFormat="1"/>
    <xf numFmtId="3" fontId="12" fillId="14" borderId="0" xfId="0" applyNumberFormat="1" applyFont="1" applyFill="1"/>
    <xf numFmtId="3" fontId="24" fillId="6" borderId="0" xfId="0" applyNumberFormat="1" applyFont="1" applyFill="1"/>
    <xf numFmtId="3" fontId="25" fillId="0" borderId="0" xfId="0" applyNumberFormat="1" applyFont="1"/>
    <xf numFmtId="0" fontId="0" fillId="16" borderId="0" xfId="0" applyFill="1"/>
    <xf numFmtId="0" fontId="18" fillId="15" borderId="0" xfId="0" applyFont="1" applyFill="1" applyAlignment="1">
      <alignment horizontal="center"/>
    </xf>
    <xf numFmtId="0" fontId="27" fillId="17" borderId="0" xfId="0" applyFont="1" applyFill="1" applyAlignment="1">
      <alignment horizontal="center"/>
    </xf>
    <xf numFmtId="0" fontId="27" fillId="18" borderId="0" xfId="0" applyFont="1" applyFill="1" applyAlignment="1">
      <alignment horizontal="center"/>
    </xf>
    <xf numFmtId="3" fontId="28" fillId="0" borderId="0" xfId="0" applyNumberFormat="1" applyFont="1"/>
    <xf numFmtId="10" fontId="28" fillId="0" borderId="0" xfId="0" applyNumberFormat="1" applyFont="1"/>
    <xf numFmtId="0" fontId="30" fillId="19" borderId="0" xfId="0" applyFont="1" applyFill="1" applyAlignment="1">
      <alignment horizontal="center"/>
    </xf>
    <xf numFmtId="0" fontId="28" fillId="0" borderId="0" xfId="0" applyFont="1"/>
    <xf numFmtId="0" fontId="6" fillId="19" borderId="0" xfId="0" applyFont="1" applyFill="1"/>
    <xf numFmtId="0" fontId="6" fillId="19" borderId="0" xfId="0" applyFont="1" applyFill="1" applyAlignment="1">
      <alignment horizontal="center"/>
    </xf>
    <xf numFmtId="3" fontId="32" fillId="0" borderId="0" xfId="0" applyNumberFormat="1" applyFont="1"/>
    <xf numFmtId="3" fontId="32" fillId="20" borderId="0" xfId="0" applyNumberFormat="1" applyFont="1" applyFill="1"/>
    <xf numFmtId="0" fontId="33" fillId="0" borderId="0" xfId="0" applyFont="1"/>
    <xf numFmtId="3" fontId="34" fillId="0" borderId="0" xfId="0" applyNumberFormat="1" applyFont="1"/>
    <xf numFmtId="3" fontId="34" fillId="6" borderId="0" xfId="0" applyNumberFormat="1" applyFont="1" applyFill="1"/>
    <xf numFmtId="0" fontId="34" fillId="6" borderId="0" xfId="0" applyFont="1" applyFill="1"/>
    <xf numFmtId="3" fontId="35" fillId="21" borderId="0" xfId="0" applyNumberFormat="1" applyFont="1" applyFill="1"/>
    <xf numFmtId="0" fontId="36" fillId="8" borderId="0" xfId="0" applyFont="1" applyFill="1"/>
    <xf numFmtId="3" fontId="37" fillId="12" borderId="0" xfId="0" applyNumberFormat="1" applyFont="1" applyFill="1"/>
    <xf numFmtId="2" fontId="35" fillId="0" borderId="0" xfId="0" applyNumberFormat="1" applyFont="1"/>
    <xf numFmtId="3" fontId="21" fillId="0" borderId="0" xfId="0" applyNumberFormat="1" applyFont="1"/>
    <xf numFmtId="164" fontId="32" fillId="0" borderId="0" xfId="0" applyNumberFormat="1" applyFont="1"/>
    <xf numFmtId="164" fontId="25" fillId="0" borderId="0" xfId="0" applyNumberFormat="1" applyFont="1"/>
    <xf numFmtId="165" fontId="25" fillId="0" borderId="0" xfId="0" applyNumberFormat="1" applyFont="1"/>
    <xf numFmtId="0" fontId="6" fillId="15" borderId="0" xfId="0" applyFont="1" applyFill="1"/>
    <xf numFmtId="0" fontId="0" fillId="0" borderId="3" xfId="0" applyBorder="1"/>
    <xf numFmtId="0" fontId="0" fillId="0" borderId="4" xfId="0" applyBorder="1"/>
    <xf numFmtId="0" fontId="36" fillId="9" borderId="0" xfId="0" applyFont="1" applyFill="1"/>
    <xf numFmtId="0" fontId="45" fillId="10" borderId="0" xfId="0" applyFont="1" applyFill="1"/>
    <xf numFmtId="0" fontId="36" fillId="23" borderId="0" xfId="0" applyFont="1" applyFill="1"/>
    <xf numFmtId="3" fontId="36" fillId="23" borderId="0" xfId="0" applyNumberFormat="1" applyFont="1" applyFill="1"/>
    <xf numFmtId="3" fontId="0" fillId="22" borderId="0" xfId="0" applyNumberFormat="1" applyFill="1"/>
    <xf numFmtId="0" fontId="48" fillId="22" borderId="0" xfId="0" applyFont="1" applyFill="1"/>
    <xf numFmtId="0" fontId="49" fillId="0" borderId="0" xfId="0" applyFont="1"/>
    <xf numFmtId="3" fontId="51" fillId="20" borderId="0" xfId="0" applyNumberFormat="1" applyFont="1" applyFill="1"/>
    <xf numFmtId="4" fontId="46" fillId="0" borderId="0" xfId="0" applyNumberFormat="1" applyFont="1"/>
    <xf numFmtId="3" fontId="46" fillId="24" borderId="0" xfId="0" applyNumberFormat="1" applyFont="1" applyFill="1"/>
    <xf numFmtId="3" fontId="51" fillId="24" borderId="0" xfId="0" applyNumberFormat="1" applyFont="1" applyFill="1"/>
    <xf numFmtId="0" fontId="42" fillId="0" borderId="0" xfId="0" applyFont="1"/>
    <xf numFmtId="3" fontId="41" fillId="25" borderId="0" xfId="0" applyNumberFormat="1" applyFont="1" applyFill="1"/>
    <xf numFmtId="3" fontId="38" fillId="0" borderId="0" xfId="0" applyNumberFormat="1" applyFont="1"/>
    <xf numFmtId="0" fontId="0" fillId="0" borderId="6" xfId="0" applyBorder="1"/>
    <xf numFmtId="3" fontId="35" fillId="26" borderId="6" xfId="0" applyNumberFormat="1" applyFont="1" applyFill="1" applyBorder="1"/>
    <xf numFmtId="0" fontId="55" fillId="0" borderId="0" xfId="0" applyFont="1"/>
    <xf numFmtId="3" fontId="35" fillId="21" borderId="6" xfId="0" applyNumberFormat="1" applyFont="1" applyFill="1" applyBorder="1"/>
    <xf numFmtId="0" fontId="6" fillId="0" borderId="0" xfId="0" applyFont="1"/>
    <xf numFmtId="3" fontId="26" fillId="21" borderId="6" xfId="0" applyNumberFormat="1" applyFont="1" applyFill="1" applyBorder="1"/>
    <xf numFmtId="3" fontId="26" fillId="21" borderId="0" xfId="0" applyNumberFormat="1" applyFont="1" applyFill="1"/>
    <xf numFmtId="0" fontId="36" fillId="27" borderId="0" xfId="0" applyFont="1" applyFill="1"/>
    <xf numFmtId="0" fontId="6" fillId="27" borderId="0" xfId="0" applyFont="1" applyFill="1"/>
    <xf numFmtId="0" fontId="6" fillId="28" borderId="6" xfId="0" applyFont="1" applyFill="1" applyBorder="1"/>
    <xf numFmtId="0" fontId="6" fillId="30" borderId="0" xfId="0" applyFont="1" applyFill="1"/>
    <xf numFmtId="0" fontId="17" fillId="0" borderId="0" xfId="0" applyFont="1" applyAlignment="1">
      <alignment horizontal="center"/>
    </xf>
    <xf numFmtId="0" fontId="54" fillId="11" borderId="1" xfId="0" applyFont="1" applyFill="1" applyBorder="1"/>
    <xf numFmtId="0" fontId="54" fillId="11" borderId="2" xfId="0" applyFont="1" applyFill="1" applyBorder="1"/>
    <xf numFmtId="0" fontId="54" fillId="11" borderId="7" xfId="0" applyFont="1" applyFill="1" applyBorder="1"/>
    <xf numFmtId="0" fontId="0" fillId="0" borderId="8" xfId="0" applyBorder="1"/>
    <xf numFmtId="0" fontId="19" fillId="0" borderId="3" xfId="0" applyFont="1" applyBorder="1"/>
    <xf numFmtId="3" fontId="32" fillId="0" borderId="8" xfId="0" applyNumberFormat="1" applyFont="1" applyBorder="1"/>
    <xf numFmtId="0" fontId="19" fillId="0" borderId="9" xfId="0" applyFont="1" applyBorder="1"/>
    <xf numFmtId="3" fontId="35" fillId="26" borderId="10" xfId="0" applyNumberFormat="1" applyFont="1" applyFill="1" applyBorder="1"/>
    <xf numFmtId="164" fontId="25" fillId="0" borderId="5" xfId="0" applyNumberFormat="1" applyFont="1" applyBorder="1"/>
    <xf numFmtId="164" fontId="25" fillId="0" borderId="11" xfId="0" applyNumberFormat="1" applyFont="1" applyBorder="1"/>
    <xf numFmtId="0" fontId="20" fillId="0" borderId="0" xfId="0" applyFont="1"/>
    <xf numFmtId="0" fontId="0" fillId="0" borderId="0" xfId="0"/>
    <xf numFmtId="0" fontId="44" fillId="5" borderId="0" xfId="0" applyFont="1" applyFill="1"/>
    <xf numFmtId="0" fontId="6" fillId="15" borderId="0" xfId="0" applyFont="1" applyFill="1" applyAlignment="1">
      <alignment horizontal="center"/>
    </xf>
    <xf numFmtId="0" fontId="0" fillId="16" borderId="0" xfId="0" applyFill="1"/>
    <xf numFmtId="0" fontId="6" fillId="17" borderId="0" xfId="0" applyFont="1" applyFill="1" applyAlignment="1">
      <alignment horizontal="center"/>
    </xf>
    <xf numFmtId="0" fontId="6" fillId="13" borderId="0" xfId="0" applyFont="1" applyFill="1" applyAlignment="1">
      <alignment horizontal="left"/>
    </xf>
    <xf numFmtId="0" fontId="29" fillId="13" borderId="0" xfId="0" applyFont="1" applyFill="1" applyAlignment="1">
      <alignment horizontal="left"/>
    </xf>
    <xf numFmtId="0" fontId="6" fillId="29" borderId="0" xfId="0" applyFont="1" applyFill="1" applyAlignment="1">
      <alignment horizontal="left"/>
    </xf>
    <xf numFmtId="0" fontId="22" fillId="0" borderId="0" xfId="0" applyFont="1"/>
    <xf numFmtId="0" fontId="47" fillId="0" borderId="0" xfId="0" applyFont="1"/>
    <xf numFmtId="0" fontId="39" fillId="0" borderId="0" xfId="0" applyFont="1"/>
    <xf numFmtId="0" fontId="50" fillId="0" borderId="0" xfId="0" applyFont="1"/>
    <xf numFmtId="0" fontId="43" fillId="23" borderId="0" xfId="0" applyFont="1" applyFill="1" applyAlignment="1">
      <alignment horizontal="left"/>
    </xf>
    <xf numFmtId="0" fontId="53" fillId="8" borderId="0" xfId="0" applyFont="1" applyFill="1" applyAlignment="1">
      <alignment horizontal="center"/>
    </xf>
    <xf numFmtId="0" fontId="56" fillId="0" borderId="0" xfId="0" applyFont="1" applyAlignment="1">
      <alignment horizontal="center"/>
    </xf>
    <xf numFmtId="0" fontId="53" fillId="31" borderId="0" xfId="0" applyFont="1" applyFill="1" applyAlignment="1">
      <alignment horizontal="center"/>
    </xf>
    <xf numFmtId="0" fontId="17" fillId="7" borderId="0" xfId="0" applyFont="1" applyFill="1" applyAlignment="1">
      <alignment horizontal="center"/>
    </xf>
    <xf numFmtId="0" fontId="52" fillId="0" borderId="0" xfId="0" applyFont="1"/>
    <xf numFmtId="0" fontId="40" fillId="0" borderId="0" xfId="0" applyFont="1"/>
    <xf numFmtId="0" fontId="1" fillId="0" borderId="0" xfId="0" applyFont="1"/>
    <xf numFmtId="0" fontId="31" fillId="0" borderId="0" xfId="0" applyFont="1"/>
    <xf numFmtId="0" fontId="28" fillId="0" borderId="0" xfId="0" applyFont="1"/>
    <xf numFmtId="0" fontId="9" fillId="0" borderId="0" xfId="0" applyFont="1"/>
    <xf numFmtId="0" fontId="10" fillId="0" borderId="0" xfId="0" applyFont="1"/>
    <xf numFmtId="0" fontId="5" fillId="0" borderId="0" xfId="0" applyFont="1"/>
    <xf numFmtId="0" fontId="14" fillId="4" borderId="0" xfId="0" applyFont="1" applyFill="1"/>
    <xf numFmtId="0" fontId="1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7D31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40"/>
  <sheetViews>
    <sheetView tabSelected="1" topLeftCell="A8" zoomScale="73" workbookViewId="0">
      <selection activeCell="N25" sqref="N25"/>
    </sheetView>
  </sheetViews>
  <sheetFormatPr defaultRowHeight="14.5" x14ac:dyDescent="0.35"/>
  <cols>
    <col min="1" max="1" width="5" customWidth="1"/>
    <col min="2" max="2" width="45" customWidth="1"/>
    <col min="3" max="14" width="12" customWidth="1"/>
  </cols>
  <sheetData>
    <row r="2" spans="2:14" ht="18.5" x14ac:dyDescent="0.45">
      <c r="B2" s="90" t="s">
        <v>340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</row>
    <row r="3" spans="2:14" x14ac:dyDescent="0.35">
      <c r="B3" s="88" t="s">
        <v>33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</row>
    <row r="5" spans="2:14" ht="15.5" x14ac:dyDescent="0.35">
      <c r="B5" s="97" t="s">
        <v>34</v>
      </c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</row>
    <row r="7" spans="2:14" x14ac:dyDescent="0.35">
      <c r="C7" s="91" t="s">
        <v>35</v>
      </c>
      <c r="D7" s="92"/>
      <c r="E7" s="92"/>
      <c r="F7" s="93" t="s">
        <v>36</v>
      </c>
      <c r="G7" s="93"/>
      <c r="H7" s="93"/>
      <c r="I7" s="93"/>
      <c r="J7" s="93"/>
      <c r="K7" s="93"/>
      <c r="L7" s="93"/>
    </row>
    <row r="8" spans="2:14" x14ac:dyDescent="0.35">
      <c r="C8" s="26" t="s">
        <v>37</v>
      </c>
      <c r="D8" s="26" t="s">
        <v>38</v>
      </c>
      <c r="E8" s="28" t="s">
        <v>39</v>
      </c>
      <c r="F8" s="27" t="s">
        <v>40</v>
      </c>
      <c r="G8" s="27" t="s">
        <v>41</v>
      </c>
      <c r="H8" s="27" t="s">
        <v>42</v>
      </c>
      <c r="I8" s="27" t="s">
        <v>43</v>
      </c>
      <c r="J8" s="27" t="s">
        <v>44</v>
      </c>
      <c r="K8" s="27" t="s">
        <v>45</v>
      </c>
      <c r="L8" s="27" t="s">
        <v>46</v>
      </c>
    </row>
    <row r="10" spans="2:14" x14ac:dyDescent="0.35">
      <c r="B10" s="94" t="s">
        <v>47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</row>
    <row r="12" spans="2:14" x14ac:dyDescent="0.35">
      <c r="B12" s="16" t="s">
        <v>48</v>
      </c>
      <c r="C12" s="29">
        <v>37154258</v>
      </c>
      <c r="D12" s="29">
        <v>45095325</v>
      </c>
      <c r="E12" s="29">
        <v>48036704</v>
      </c>
      <c r="F12" s="5">
        <v>44183226</v>
      </c>
      <c r="G12" s="5">
        <v>46226334</v>
      </c>
      <c r="H12" s="5">
        <v>47661378</v>
      </c>
      <c r="I12" s="5">
        <v>49108467</v>
      </c>
      <c r="J12" s="5">
        <v>50581897</v>
      </c>
      <c r="K12" s="5">
        <v>62443844</v>
      </c>
      <c r="L12" s="5">
        <v>75473558</v>
      </c>
    </row>
    <row r="13" spans="2:14" x14ac:dyDescent="0.35">
      <c r="B13" s="20" t="s">
        <v>49</v>
      </c>
      <c r="C13" s="30">
        <v>0.184</v>
      </c>
      <c r="D13" s="30">
        <v>0.2137</v>
      </c>
      <c r="E13" s="30">
        <v>6.5199999999999994E-2</v>
      </c>
      <c r="F13" s="21">
        <f>(F12-E12)/E12</f>
        <v>-8.021945052683048E-2</v>
      </c>
      <c r="G13" s="21">
        <f t="shared" ref="G13:L13" si="0">(G12-F12)/F12</f>
        <v>4.6241711730148453E-2</v>
      </c>
      <c r="H13" s="21">
        <f t="shared" si="0"/>
        <v>3.1043863439397985E-2</v>
      </c>
      <c r="I13" s="21">
        <f t="shared" si="0"/>
        <v>3.0361879171852731E-2</v>
      </c>
      <c r="J13" s="21">
        <f t="shared" si="0"/>
        <v>3.0003583699731454E-2</v>
      </c>
      <c r="K13" s="21">
        <f t="shared" si="0"/>
        <v>0.23450972983476678</v>
      </c>
      <c r="L13" s="21">
        <f t="shared" si="0"/>
        <v>0.20866290678709659</v>
      </c>
      <c r="M13" s="21"/>
    </row>
    <row r="15" spans="2:14" x14ac:dyDescent="0.35">
      <c r="B15" s="95" t="s">
        <v>220</v>
      </c>
      <c r="C15" s="95"/>
      <c r="D15" s="95"/>
      <c r="E15" s="95"/>
      <c r="F15" s="95"/>
      <c r="G15" s="95"/>
      <c r="H15" s="95"/>
      <c r="I15" s="95"/>
      <c r="J15" s="95"/>
      <c r="K15" s="95"/>
      <c r="L15" s="95"/>
    </row>
    <row r="16" spans="2:14" x14ac:dyDescent="0.35">
      <c r="B16" s="16" t="s">
        <v>50</v>
      </c>
      <c r="F16" s="22">
        <v>6024986</v>
      </c>
      <c r="G16" s="22">
        <v>6303592</v>
      </c>
      <c r="H16" s="22">
        <v>6499279</v>
      </c>
      <c r="I16" s="22">
        <v>6696610</v>
      </c>
      <c r="J16" s="22">
        <v>6897332</v>
      </c>
      <c r="K16" s="22">
        <v>8515070</v>
      </c>
      <c r="L16" s="22">
        <v>10428213</v>
      </c>
    </row>
    <row r="20" spans="1:14" x14ac:dyDescent="0.35">
      <c r="B20" s="73" t="s">
        <v>339</v>
      </c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0"/>
      <c r="N20" s="70"/>
    </row>
    <row r="22" spans="1:14" x14ac:dyDescent="0.35">
      <c r="B22" s="68" t="s">
        <v>337</v>
      </c>
      <c r="F22" s="5">
        <f>'Strategic Revenue Model'!C70</f>
        <v>351999.41750000004</v>
      </c>
      <c r="G22" s="5">
        <f>'Strategic Revenue Model'!D70</f>
        <v>492799.18450000003</v>
      </c>
      <c r="H22" s="5">
        <f>'Strategic Revenue Model'!E70</f>
        <v>492799.18450000003</v>
      </c>
      <c r="I22" s="5">
        <f>'Strategic Revenue Model'!F70</f>
        <v>492799.18450000003</v>
      </c>
      <c r="J22" s="5">
        <f>'Strategic Revenue Model'!G70</f>
        <v>492799.18450000003</v>
      </c>
      <c r="K22" s="5">
        <f>'Strategic Revenue Model'!H70</f>
        <v>492799.18450000003</v>
      </c>
      <c r="L22" s="5">
        <f>'Strategic Revenue Model'!I70</f>
        <v>492799.18450000003</v>
      </c>
      <c r="M22" s="5"/>
    </row>
    <row r="23" spans="1:14" x14ac:dyDescent="0.35">
      <c r="A23" s="50"/>
      <c r="B23" s="68" t="s">
        <v>338</v>
      </c>
      <c r="J23" s="5">
        <f>'Strategic Revenue Model'!G198</f>
        <v>798458.29249999998</v>
      </c>
      <c r="K23" s="5">
        <f>'Strategic Revenue Model'!H198</f>
        <v>1596916.585</v>
      </c>
      <c r="L23" s="5">
        <f>'Strategic Revenue Model'!I198</f>
        <v>1596916.585</v>
      </c>
      <c r="M23" s="5"/>
    </row>
    <row r="24" spans="1:14" x14ac:dyDescent="0.35">
      <c r="A24" s="50"/>
    </row>
    <row r="25" spans="1:14" ht="15" thickBot="1" x14ac:dyDescent="0.4">
      <c r="A25" s="50"/>
      <c r="B25" s="75" t="s">
        <v>51</v>
      </c>
      <c r="C25" s="66"/>
      <c r="D25" s="66"/>
      <c r="E25" s="66"/>
      <c r="F25" s="71">
        <f>SUM(F22:F23)</f>
        <v>351999.41750000004</v>
      </c>
      <c r="G25" s="71">
        <f t="shared" ref="G25:L25" si="1">SUM(G22:G23)</f>
        <v>492799.18450000003</v>
      </c>
      <c r="H25" s="71">
        <f t="shared" si="1"/>
        <v>492799.18450000003</v>
      </c>
      <c r="I25" s="71">
        <f t="shared" si="1"/>
        <v>492799.18450000003</v>
      </c>
      <c r="J25" s="71">
        <f t="shared" si="1"/>
        <v>1291257.477</v>
      </c>
      <c r="K25" s="71">
        <f t="shared" si="1"/>
        <v>2089715.7694999999</v>
      </c>
      <c r="L25" s="71">
        <f t="shared" si="1"/>
        <v>2089715.7694999999</v>
      </c>
      <c r="N25" s="5">
        <f>SUM(F25:L25)</f>
        <v>7301085.9869999997</v>
      </c>
    </row>
    <row r="26" spans="1:14" ht="15" thickTop="1" x14ac:dyDescent="0.35">
      <c r="A26" s="50"/>
      <c r="B26" s="11" t="s">
        <v>52</v>
      </c>
      <c r="C26" s="3">
        <v>0</v>
      </c>
      <c r="D26" s="3">
        <v>0</v>
      </c>
      <c r="E26" s="3">
        <v>0</v>
      </c>
      <c r="F26" s="3">
        <f>F25/F12</f>
        <v>7.9668111490998877E-3</v>
      </c>
      <c r="G26" s="3">
        <f t="shared" ref="G26:L26" si="2">G25/G12</f>
        <v>1.0660572488832881E-2</v>
      </c>
      <c r="H26" s="3">
        <f t="shared" si="2"/>
        <v>1.033959161860574E-2</v>
      </c>
      <c r="I26" s="3">
        <f t="shared" si="2"/>
        <v>1.0034912808416521E-2</v>
      </c>
      <c r="J26" s="3">
        <f t="shared" si="2"/>
        <v>2.5528055561063672E-2</v>
      </c>
      <c r="K26" s="3">
        <f t="shared" si="2"/>
        <v>3.3465520948710331E-2</v>
      </c>
      <c r="L26" s="3">
        <f t="shared" si="2"/>
        <v>2.7688051615375017E-2</v>
      </c>
      <c r="M26" s="3"/>
    </row>
    <row r="27" spans="1:14" x14ac:dyDescent="0.35">
      <c r="A27" s="50"/>
    </row>
    <row r="30" spans="1:14" x14ac:dyDescent="0.35">
      <c r="B30" s="96" t="s">
        <v>53</v>
      </c>
      <c r="C30" s="96"/>
      <c r="D30" s="96"/>
      <c r="E30" s="96"/>
      <c r="F30" s="96"/>
      <c r="G30" s="96"/>
      <c r="H30" s="96"/>
      <c r="I30" s="96"/>
      <c r="J30" s="96"/>
      <c r="K30" s="96"/>
      <c r="L30" s="96"/>
    </row>
    <row r="31" spans="1:14" x14ac:dyDescent="0.35">
      <c r="B31" s="16"/>
      <c r="N31" s="45"/>
    </row>
    <row r="32" spans="1:14" x14ac:dyDescent="0.35">
      <c r="B32" s="16" t="s">
        <v>54</v>
      </c>
      <c r="F32" s="5">
        <f>'Strategic Revenue Model'!C221</f>
        <v>30000</v>
      </c>
      <c r="G32" s="5">
        <f>'Strategic Revenue Model'!D221</f>
        <v>96000</v>
      </c>
      <c r="H32" s="5">
        <f>'Strategic Revenue Model'!E221</f>
        <v>80000</v>
      </c>
      <c r="I32" s="5">
        <f>'Strategic Revenue Model'!F221</f>
        <v>80000</v>
      </c>
      <c r="J32" s="5">
        <f>'Strategic Revenue Model'!G221</f>
        <v>700000</v>
      </c>
      <c r="K32" s="5">
        <f>'Strategic Revenue Model'!H221</f>
        <v>165000</v>
      </c>
      <c r="L32" s="5">
        <f>'Strategic Revenue Model'!I221</f>
        <v>0</v>
      </c>
    </row>
    <row r="33" spans="2:13" x14ac:dyDescent="0.35">
      <c r="B33" s="16" t="s">
        <v>55</v>
      </c>
      <c r="F33" s="5">
        <f>'Strategic Revenue Model'!C222</f>
        <v>21500</v>
      </c>
      <c r="G33" s="5">
        <f>'Strategic Revenue Model'!D222</f>
        <v>29000</v>
      </c>
      <c r="H33" s="5">
        <f>'Strategic Revenue Model'!E222</f>
        <v>26500</v>
      </c>
      <c r="I33" s="5">
        <f>'Strategic Revenue Model'!F222</f>
        <v>25500</v>
      </c>
      <c r="J33" s="5">
        <f>'Strategic Revenue Model'!G222</f>
        <v>113241</v>
      </c>
      <c r="K33" s="5">
        <f>'Strategic Revenue Model'!H222</f>
        <v>185401</v>
      </c>
      <c r="L33" s="5">
        <f>'Strategic Revenue Model'!I222</f>
        <v>183901</v>
      </c>
      <c r="M33" s="5"/>
    </row>
    <row r="34" spans="2:13" x14ac:dyDescent="0.35">
      <c r="B34" s="16"/>
    </row>
    <row r="35" spans="2:13" x14ac:dyDescent="0.35">
      <c r="B35" s="76" t="s">
        <v>56</v>
      </c>
      <c r="F35" s="72">
        <f>'Strategic Revenue Model'!C224</f>
        <v>300499.41750000004</v>
      </c>
      <c r="G35" s="72">
        <f>'Strategic Revenue Model'!D224</f>
        <v>367799.18450000003</v>
      </c>
      <c r="H35" s="72">
        <f>'Strategic Revenue Model'!E224</f>
        <v>386299.18450000003</v>
      </c>
      <c r="I35" s="72">
        <f>'Strategic Revenue Model'!F224</f>
        <v>387299.18450000003</v>
      </c>
      <c r="J35" s="72">
        <f>'Strategic Revenue Model'!G224</f>
        <v>478016.47699999996</v>
      </c>
      <c r="K35" s="72">
        <f>'Strategic Revenue Model'!H224</f>
        <v>1739314.7694999999</v>
      </c>
      <c r="L35" s="72">
        <f>'Strategic Revenue Model'!I224</f>
        <v>1905814.7694999999</v>
      </c>
    </row>
    <row r="36" spans="2:13" x14ac:dyDescent="0.35">
      <c r="B36" s="11" t="s">
        <v>57</v>
      </c>
      <c r="C36" s="3"/>
      <c r="D36" s="3"/>
      <c r="E36" s="3"/>
      <c r="F36" s="3">
        <f>'Strategic Revenue Model'!C225</f>
        <v>0.85369293970493576</v>
      </c>
      <c r="G36" s="3">
        <f>'Strategic Revenue Model'!D225</f>
        <v>0.74634698284489553</v>
      </c>
      <c r="H36" s="3">
        <f>'Strategic Revenue Model'!E225</f>
        <v>0.78388762938385104</v>
      </c>
      <c r="I36" s="3">
        <f>'Strategic Revenue Model'!F225</f>
        <v>0.78591685352109186</v>
      </c>
      <c r="J36" s="3">
        <f>'Strategic Revenue Model'!G225</f>
        <v>0.37019454718712153</v>
      </c>
      <c r="K36" s="3">
        <f>'Strategic Revenue Model'!H225</f>
        <v>0.83232121558625205</v>
      </c>
      <c r="L36" s="3">
        <f>'Strategic Revenue Model'!I225</f>
        <v>0.91199712291782076</v>
      </c>
      <c r="M36" s="3"/>
    </row>
    <row r="38" spans="2:13" x14ac:dyDescent="0.35">
      <c r="F38">
        <f>SUM(F36:L36)/6</f>
        <v>0.88072621519099492</v>
      </c>
    </row>
    <row r="40" spans="2:13" x14ac:dyDescent="0.35">
      <c r="F40" s="5">
        <f>F32+F33</f>
        <v>51500</v>
      </c>
      <c r="G40" s="5">
        <f t="shared" ref="G40:L40" si="3">G32+G33</f>
        <v>125000</v>
      </c>
      <c r="H40" s="5">
        <f t="shared" si="3"/>
        <v>106500</v>
      </c>
      <c r="I40" s="5">
        <f t="shared" si="3"/>
        <v>105500</v>
      </c>
      <c r="J40" s="5">
        <f t="shared" si="3"/>
        <v>813241</v>
      </c>
      <c r="K40" s="5">
        <f t="shared" si="3"/>
        <v>350401</v>
      </c>
      <c r="L40" s="5">
        <f t="shared" si="3"/>
        <v>183901</v>
      </c>
    </row>
  </sheetData>
  <mergeCells count="8">
    <mergeCell ref="B15:L15"/>
    <mergeCell ref="B30:L30"/>
    <mergeCell ref="B5:N5"/>
    <mergeCell ref="B3:N3"/>
    <mergeCell ref="B2:N2"/>
    <mergeCell ref="C7:E7"/>
    <mergeCell ref="F7:L7"/>
    <mergeCell ref="B10:L10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J229"/>
  <sheetViews>
    <sheetView topLeftCell="A115" zoomScale="80" zoomScaleNormal="80" workbookViewId="0">
      <selection activeCell="J235" sqref="J235"/>
    </sheetView>
  </sheetViews>
  <sheetFormatPr defaultRowHeight="14.5" x14ac:dyDescent="0.35"/>
  <cols>
    <col min="1" max="1" width="5" customWidth="1"/>
    <col min="2" max="2" width="45" customWidth="1"/>
    <col min="3" max="3" width="14.7265625" bestFit="1" customWidth="1"/>
    <col min="4" max="9" width="15.08984375" bestFit="1" customWidth="1"/>
    <col min="10" max="10" width="14" customWidth="1"/>
  </cols>
  <sheetData>
    <row r="2" spans="2:10" ht="21" x14ac:dyDescent="0.5">
      <c r="B2" s="102" t="s">
        <v>341</v>
      </c>
      <c r="C2" s="103"/>
      <c r="D2" s="103"/>
      <c r="E2" s="103"/>
      <c r="F2" s="103"/>
      <c r="G2" s="103"/>
      <c r="H2" s="103"/>
      <c r="I2" s="103"/>
      <c r="J2" s="103"/>
    </row>
    <row r="3" spans="2:10" ht="15.5" x14ac:dyDescent="0.35">
      <c r="B3" s="106" t="s">
        <v>335</v>
      </c>
      <c r="C3" s="89"/>
      <c r="D3" s="89"/>
      <c r="E3" s="89"/>
      <c r="F3" s="89"/>
      <c r="G3" s="89"/>
      <c r="H3" s="89"/>
      <c r="I3" s="89"/>
      <c r="J3" s="89"/>
    </row>
    <row r="4" spans="2:10" x14ac:dyDescent="0.35">
      <c r="B4" s="99" t="s">
        <v>154</v>
      </c>
      <c r="C4" s="107"/>
      <c r="D4" s="107"/>
      <c r="E4" s="107"/>
      <c r="F4" s="107"/>
      <c r="G4" s="107"/>
      <c r="H4" s="107"/>
      <c r="I4" s="107"/>
      <c r="J4" s="107"/>
    </row>
    <row r="6" spans="2:10" x14ac:dyDescent="0.35">
      <c r="B6" s="42" t="s">
        <v>227</v>
      </c>
      <c r="C6" s="19" t="s">
        <v>40</v>
      </c>
      <c r="D6" s="19" t="s">
        <v>41</v>
      </c>
      <c r="E6" s="19" t="s">
        <v>42</v>
      </c>
      <c r="F6" s="19" t="s">
        <v>43</v>
      </c>
      <c r="G6" s="19" t="s">
        <v>44</v>
      </c>
      <c r="H6" s="19" t="s">
        <v>45</v>
      </c>
      <c r="I6" s="19" t="s">
        <v>46</v>
      </c>
    </row>
    <row r="7" spans="2:10" x14ac:dyDescent="0.35">
      <c r="C7" s="37"/>
      <c r="D7" s="37"/>
      <c r="E7" s="37"/>
      <c r="F7" s="37"/>
      <c r="G7" s="37"/>
      <c r="H7" s="37"/>
      <c r="I7" s="37"/>
    </row>
    <row r="8" spans="2:10" x14ac:dyDescent="0.35">
      <c r="B8" s="49" t="s">
        <v>155</v>
      </c>
      <c r="C8" s="37"/>
      <c r="D8" s="37"/>
      <c r="E8" s="37"/>
      <c r="F8" s="37"/>
      <c r="G8" s="37"/>
      <c r="H8" s="37"/>
      <c r="I8" s="37"/>
    </row>
    <row r="9" spans="2:10" x14ac:dyDescent="0.35">
      <c r="B9" t="s">
        <v>156</v>
      </c>
      <c r="C9" s="38">
        <v>300000</v>
      </c>
      <c r="D9" s="38">
        <v>300000</v>
      </c>
      <c r="E9" s="38">
        <v>300000</v>
      </c>
      <c r="F9" s="38">
        <v>300000</v>
      </c>
      <c r="G9" s="38">
        <v>300000</v>
      </c>
      <c r="H9" s="38">
        <v>300000</v>
      </c>
      <c r="I9" s="38">
        <v>300000</v>
      </c>
    </row>
    <row r="10" spans="2:10" x14ac:dyDescent="0.35">
      <c r="B10" s="11" t="s">
        <v>157</v>
      </c>
      <c r="C10" s="38">
        <v>150000</v>
      </c>
      <c r="D10" s="38">
        <v>150000</v>
      </c>
      <c r="E10" s="38">
        <v>150000</v>
      </c>
      <c r="F10" s="38">
        <v>150000</v>
      </c>
      <c r="G10" s="38">
        <v>150000</v>
      </c>
      <c r="H10" s="38">
        <v>150000</v>
      </c>
      <c r="I10" s="38">
        <v>150000</v>
      </c>
    </row>
    <row r="11" spans="2:10" x14ac:dyDescent="0.35">
      <c r="B11" s="11" t="s">
        <v>158</v>
      </c>
      <c r="C11" s="38">
        <v>60000</v>
      </c>
      <c r="D11" s="38">
        <v>60000</v>
      </c>
      <c r="E11" s="38">
        <v>60000</v>
      </c>
      <c r="F11" s="38">
        <v>60000</v>
      </c>
      <c r="G11" s="38">
        <v>60000</v>
      </c>
      <c r="H11" s="38">
        <v>60000</v>
      </c>
      <c r="I11" s="38">
        <v>60000</v>
      </c>
    </row>
    <row r="12" spans="2:10" x14ac:dyDescent="0.35">
      <c r="B12" t="s">
        <v>159</v>
      </c>
      <c r="C12" s="37"/>
      <c r="D12" s="39">
        <v>20000</v>
      </c>
      <c r="E12" s="39">
        <v>20000</v>
      </c>
      <c r="F12" s="39">
        <v>20000</v>
      </c>
      <c r="G12" s="39">
        <v>20000</v>
      </c>
      <c r="H12" s="39">
        <v>20000</v>
      </c>
      <c r="I12" s="39">
        <v>20000</v>
      </c>
    </row>
    <row r="13" spans="2:10" x14ac:dyDescent="0.35">
      <c r="B13" s="18" t="s">
        <v>160</v>
      </c>
      <c r="C13" s="35">
        <f>C11+C12</f>
        <v>60000</v>
      </c>
      <c r="D13" s="35">
        <f t="shared" ref="D13:I13" si="0">D11+D12</f>
        <v>80000</v>
      </c>
      <c r="E13" s="35">
        <f t="shared" si="0"/>
        <v>80000</v>
      </c>
      <c r="F13" s="35">
        <f t="shared" si="0"/>
        <v>80000</v>
      </c>
      <c r="G13" s="35">
        <f t="shared" si="0"/>
        <v>80000</v>
      </c>
      <c r="H13" s="35">
        <f t="shared" si="0"/>
        <v>80000</v>
      </c>
      <c r="I13" s="35">
        <f t="shared" si="0"/>
        <v>80000</v>
      </c>
    </row>
    <row r="15" spans="2:10" x14ac:dyDescent="0.35">
      <c r="B15" s="49" t="s">
        <v>161</v>
      </c>
    </row>
    <row r="16" spans="2:10" x14ac:dyDescent="0.35">
      <c r="B16" t="s">
        <v>162</v>
      </c>
      <c r="C16" s="39">
        <v>50000</v>
      </c>
      <c r="D16" s="39">
        <v>70000</v>
      </c>
      <c r="E16" s="39">
        <v>70000</v>
      </c>
      <c r="F16" s="39">
        <v>70000</v>
      </c>
      <c r="G16" s="39">
        <v>70000</v>
      </c>
      <c r="H16" s="39">
        <v>70000</v>
      </c>
      <c r="I16" s="39">
        <v>70000</v>
      </c>
      <c r="J16" t="s">
        <v>221</v>
      </c>
    </row>
    <row r="17" spans="2:10" x14ac:dyDescent="0.35">
      <c r="B17" s="11" t="s">
        <v>163</v>
      </c>
      <c r="C17" s="39">
        <v>50000</v>
      </c>
      <c r="D17" s="39">
        <v>50000</v>
      </c>
      <c r="E17" s="39">
        <v>50000</v>
      </c>
      <c r="F17" s="39">
        <v>50000</v>
      </c>
      <c r="G17" s="39">
        <v>50000</v>
      </c>
      <c r="H17" s="39">
        <v>50000</v>
      </c>
      <c r="I17" s="39">
        <v>50000</v>
      </c>
    </row>
    <row r="18" spans="2:10" x14ac:dyDescent="0.35">
      <c r="B18" s="11" t="s">
        <v>164</v>
      </c>
      <c r="C18" s="37"/>
      <c r="D18" s="39">
        <v>20000</v>
      </c>
      <c r="E18" s="39">
        <v>20000</v>
      </c>
      <c r="F18" s="39">
        <v>20000</v>
      </c>
      <c r="G18" s="39">
        <v>20000</v>
      </c>
      <c r="H18" s="39">
        <v>20000</v>
      </c>
      <c r="I18" s="39">
        <v>20000</v>
      </c>
    </row>
    <row r="19" spans="2:10" x14ac:dyDescent="0.35">
      <c r="B19" t="s">
        <v>165</v>
      </c>
      <c r="C19" s="39">
        <v>150000</v>
      </c>
      <c r="D19" s="39">
        <v>150000</v>
      </c>
      <c r="E19" s="39">
        <v>150000</v>
      </c>
      <c r="F19" s="39">
        <v>150000</v>
      </c>
      <c r="G19" s="39">
        <v>150000</v>
      </c>
      <c r="H19" s="39">
        <v>150000</v>
      </c>
      <c r="I19" s="39">
        <v>150000</v>
      </c>
    </row>
    <row r="20" spans="2:10" x14ac:dyDescent="0.35">
      <c r="B20" s="18" t="s">
        <v>166</v>
      </c>
      <c r="C20" s="35">
        <f>C16+C19</f>
        <v>200000</v>
      </c>
      <c r="D20" s="35">
        <f t="shared" ref="D20:I20" si="1">D16+D19</f>
        <v>220000</v>
      </c>
      <c r="E20" s="35">
        <f t="shared" si="1"/>
        <v>220000</v>
      </c>
      <c r="F20" s="35">
        <f t="shared" si="1"/>
        <v>220000</v>
      </c>
      <c r="G20" s="35">
        <f t="shared" si="1"/>
        <v>220000</v>
      </c>
      <c r="H20" s="35">
        <f t="shared" si="1"/>
        <v>220000</v>
      </c>
      <c r="I20" s="35">
        <f t="shared" si="1"/>
        <v>220000</v>
      </c>
    </row>
    <row r="21" spans="2:10" x14ac:dyDescent="0.35">
      <c r="C21" s="32"/>
      <c r="D21" s="32"/>
      <c r="E21" s="32"/>
      <c r="F21" s="32"/>
      <c r="G21" s="32"/>
      <c r="H21" s="32"/>
      <c r="I21" s="32"/>
    </row>
    <row r="22" spans="2:10" x14ac:dyDescent="0.35">
      <c r="B22" s="49" t="s">
        <v>167</v>
      </c>
      <c r="C22" s="32"/>
      <c r="D22" s="32"/>
      <c r="E22" s="32"/>
      <c r="F22" s="32"/>
      <c r="G22" s="32"/>
      <c r="H22" s="32"/>
      <c r="I22" s="32"/>
    </row>
    <row r="23" spans="2:10" x14ac:dyDescent="0.35">
      <c r="B23" t="s">
        <v>228</v>
      </c>
      <c r="C23" s="37">
        <v>44815</v>
      </c>
      <c r="D23" s="37">
        <v>44815</v>
      </c>
      <c r="E23" s="37">
        <v>44815</v>
      </c>
      <c r="F23" s="37">
        <v>44815</v>
      </c>
      <c r="G23" s="37">
        <v>44815</v>
      </c>
      <c r="H23" s="37">
        <v>44815</v>
      </c>
      <c r="I23" s="37">
        <v>44815</v>
      </c>
      <c r="J23" t="s">
        <v>222</v>
      </c>
    </row>
    <row r="24" spans="2:10" x14ac:dyDescent="0.35">
      <c r="B24" t="s">
        <v>229</v>
      </c>
      <c r="C24" s="37">
        <v>157.09</v>
      </c>
      <c r="D24" s="37">
        <v>157.09</v>
      </c>
      <c r="E24" s="37">
        <v>157.09</v>
      </c>
      <c r="F24" s="37">
        <v>157.09</v>
      </c>
      <c r="G24" s="37">
        <v>157.09</v>
      </c>
      <c r="H24" s="37">
        <v>157.09</v>
      </c>
      <c r="I24" s="37">
        <v>157.09</v>
      </c>
      <c r="J24" t="s">
        <v>230</v>
      </c>
    </row>
    <row r="25" spans="2:10" x14ac:dyDescent="0.35">
      <c r="B25" t="s">
        <v>231</v>
      </c>
      <c r="C25" s="44">
        <f>(C23*C24)/1000000</f>
        <v>7.0399883500000007</v>
      </c>
      <c r="D25" s="44">
        <f t="shared" ref="D25:I25" si="2">(D23*D24)/1000000</f>
        <v>7.0399883500000007</v>
      </c>
      <c r="E25" s="44">
        <f t="shared" si="2"/>
        <v>7.0399883500000007</v>
      </c>
      <c r="F25" s="44">
        <f t="shared" si="2"/>
        <v>7.0399883500000007</v>
      </c>
      <c r="G25" s="44">
        <f t="shared" si="2"/>
        <v>7.0399883500000007</v>
      </c>
      <c r="H25" s="44">
        <f t="shared" si="2"/>
        <v>7.0399883500000007</v>
      </c>
      <c r="I25" s="44">
        <f t="shared" si="2"/>
        <v>7.0399883500000007</v>
      </c>
    </row>
    <row r="26" spans="2:10" x14ac:dyDescent="0.35">
      <c r="B26" t="s">
        <v>168</v>
      </c>
      <c r="C26" s="39">
        <v>50000</v>
      </c>
      <c r="D26" s="39">
        <v>70000</v>
      </c>
      <c r="E26" s="39">
        <v>70000</v>
      </c>
      <c r="F26" s="39">
        <v>70000</v>
      </c>
      <c r="G26" s="39">
        <v>70000</v>
      </c>
      <c r="H26" s="39">
        <v>70000</v>
      </c>
      <c r="I26" s="39">
        <v>70000</v>
      </c>
      <c r="J26" t="s">
        <v>223</v>
      </c>
    </row>
    <row r="27" spans="2:10" x14ac:dyDescent="0.35">
      <c r="B27" t="s">
        <v>169</v>
      </c>
      <c r="C27" s="35">
        <f>C26*C25</f>
        <v>351999.41750000004</v>
      </c>
      <c r="D27" s="35">
        <f t="shared" ref="D27:H27" si="3">D26*D25</f>
        <v>492799.18450000003</v>
      </c>
      <c r="E27" s="35">
        <f t="shared" si="3"/>
        <v>492799.18450000003</v>
      </c>
      <c r="F27" s="35">
        <f t="shared" si="3"/>
        <v>492799.18450000003</v>
      </c>
      <c r="G27" s="35">
        <f t="shared" si="3"/>
        <v>492799.18450000003</v>
      </c>
      <c r="H27" s="35">
        <f t="shared" si="3"/>
        <v>492799.18450000003</v>
      </c>
      <c r="I27" s="35">
        <f>I26*I25</f>
        <v>492799.18450000003</v>
      </c>
    </row>
    <row r="28" spans="2:10" x14ac:dyDescent="0.35">
      <c r="C28" s="32"/>
      <c r="D28" s="32"/>
      <c r="E28" s="32"/>
      <c r="F28" s="32"/>
      <c r="G28" s="32"/>
      <c r="H28" s="32"/>
      <c r="I28" s="32"/>
    </row>
    <row r="29" spans="2:10" x14ac:dyDescent="0.35">
      <c r="B29" t="s">
        <v>170</v>
      </c>
      <c r="C29" s="36">
        <f>C27*2</f>
        <v>703998.83500000008</v>
      </c>
      <c r="D29" s="36">
        <f t="shared" ref="D29:I29" si="4">D27*2</f>
        <v>985598.36900000006</v>
      </c>
      <c r="E29" s="36">
        <f t="shared" si="4"/>
        <v>985598.36900000006</v>
      </c>
      <c r="F29" s="36">
        <f t="shared" si="4"/>
        <v>985598.36900000006</v>
      </c>
      <c r="G29" s="36">
        <f t="shared" si="4"/>
        <v>985598.36900000006</v>
      </c>
      <c r="H29" s="36">
        <f t="shared" si="4"/>
        <v>985598.36900000006</v>
      </c>
      <c r="I29" s="36">
        <f t="shared" si="4"/>
        <v>985598.36900000006</v>
      </c>
      <c r="J29" t="s">
        <v>224</v>
      </c>
    </row>
    <row r="30" spans="2:10" x14ac:dyDescent="0.35">
      <c r="B30" t="s">
        <v>171</v>
      </c>
      <c r="C30" s="43">
        <f>C29-C27</f>
        <v>351999.41750000004</v>
      </c>
      <c r="D30" s="43">
        <f t="shared" ref="D30:I30" si="5">D29-D27</f>
        <v>492799.18450000003</v>
      </c>
      <c r="E30" s="43">
        <f t="shared" si="5"/>
        <v>492799.18450000003</v>
      </c>
      <c r="F30" s="43">
        <f t="shared" si="5"/>
        <v>492799.18450000003</v>
      </c>
      <c r="G30" s="43">
        <f t="shared" si="5"/>
        <v>492799.18450000003</v>
      </c>
      <c r="H30" s="43">
        <f t="shared" si="5"/>
        <v>492799.18450000003</v>
      </c>
      <c r="I30" s="43">
        <f t="shared" si="5"/>
        <v>492799.18450000003</v>
      </c>
    </row>
    <row r="31" spans="2:10" x14ac:dyDescent="0.35">
      <c r="C31" s="32"/>
      <c r="D31" s="32"/>
      <c r="E31" s="32"/>
      <c r="F31" s="32"/>
      <c r="G31" s="32"/>
      <c r="H31" s="32"/>
      <c r="I31" s="32"/>
    </row>
    <row r="32" spans="2:10" x14ac:dyDescent="0.35">
      <c r="B32" s="49" t="s">
        <v>172</v>
      </c>
    </row>
    <row r="33" spans="2:10" x14ac:dyDescent="0.35">
      <c r="B33" t="s">
        <v>173</v>
      </c>
      <c r="C33" s="39">
        <v>5000</v>
      </c>
      <c r="D33" s="37"/>
      <c r="E33" s="37"/>
      <c r="F33" s="32"/>
      <c r="G33" s="32"/>
      <c r="H33" s="32"/>
      <c r="I33" s="32"/>
      <c r="J33" t="s">
        <v>225</v>
      </c>
    </row>
    <row r="34" spans="2:10" x14ac:dyDescent="0.35">
      <c r="B34" t="s">
        <v>174</v>
      </c>
      <c r="C34" s="39">
        <v>12000</v>
      </c>
      <c r="D34" s="37"/>
      <c r="E34" s="37"/>
      <c r="F34" s="32"/>
      <c r="G34" s="32"/>
      <c r="H34" s="32"/>
      <c r="I34" s="32"/>
    </row>
    <row r="35" spans="2:10" x14ac:dyDescent="0.35">
      <c r="B35" t="s">
        <v>175</v>
      </c>
      <c r="C35" s="39">
        <v>8000</v>
      </c>
      <c r="D35" s="37"/>
      <c r="E35" s="37"/>
      <c r="F35" s="32"/>
      <c r="G35" s="32"/>
      <c r="H35" s="32"/>
      <c r="I35" s="32"/>
    </row>
    <row r="36" spans="2:10" x14ac:dyDescent="0.35">
      <c r="B36" t="s">
        <v>176</v>
      </c>
      <c r="C36" s="37"/>
      <c r="D36" s="39">
        <v>15000</v>
      </c>
      <c r="E36" s="37"/>
      <c r="F36" s="32"/>
      <c r="G36" s="32"/>
      <c r="H36" s="32"/>
      <c r="I36" s="32"/>
    </row>
    <row r="37" spans="2:10" x14ac:dyDescent="0.35">
      <c r="B37" t="s">
        <v>177</v>
      </c>
      <c r="C37" s="39">
        <v>3000</v>
      </c>
      <c r="D37" s="37"/>
      <c r="E37" s="37"/>
      <c r="F37" s="32"/>
      <c r="G37" s="32"/>
      <c r="H37" s="32"/>
      <c r="I37" s="32"/>
    </row>
    <row r="38" spans="2:10" x14ac:dyDescent="0.35">
      <c r="B38" t="s">
        <v>178</v>
      </c>
      <c r="C38" s="39">
        <v>2000</v>
      </c>
      <c r="D38" s="39">
        <v>1000</v>
      </c>
      <c r="E38" s="37"/>
      <c r="F38" s="32"/>
      <c r="G38" s="32"/>
      <c r="H38" s="32"/>
      <c r="I38" s="32"/>
    </row>
    <row r="39" spans="2:10" x14ac:dyDescent="0.35">
      <c r="B39" s="18" t="s">
        <v>179</v>
      </c>
      <c r="C39" s="35">
        <f>SUM(C33:C38)</f>
        <v>30000</v>
      </c>
      <c r="D39" s="35">
        <f>SUM(D33:D38)</f>
        <v>16000</v>
      </c>
      <c r="E39" s="32"/>
      <c r="F39" s="32"/>
      <c r="G39" s="32"/>
      <c r="H39" s="32"/>
      <c r="I39" s="32"/>
    </row>
    <row r="40" spans="2:10" x14ac:dyDescent="0.35">
      <c r="C40" s="32"/>
      <c r="D40" s="32"/>
      <c r="E40" s="32"/>
      <c r="F40" s="32"/>
      <c r="G40" s="32"/>
      <c r="H40" s="32"/>
      <c r="I40" s="32"/>
    </row>
    <row r="41" spans="2:10" x14ac:dyDescent="0.35">
      <c r="B41" s="49" t="s">
        <v>180</v>
      </c>
      <c r="C41" s="32"/>
      <c r="D41" s="32"/>
      <c r="E41" s="32"/>
      <c r="F41" s="32"/>
      <c r="G41" s="32"/>
      <c r="H41" s="32"/>
      <c r="I41" s="32"/>
    </row>
    <row r="42" spans="2:10" x14ac:dyDescent="0.35">
      <c r="B42" t="s">
        <v>181</v>
      </c>
      <c r="C42" s="32"/>
      <c r="D42" s="32"/>
      <c r="E42" s="32"/>
      <c r="F42" s="32"/>
      <c r="G42" s="32"/>
      <c r="H42" s="32"/>
      <c r="I42" s="32"/>
    </row>
    <row r="43" spans="2:10" x14ac:dyDescent="0.35">
      <c r="B43" s="11" t="s">
        <v>182</v>
      </c>
      <c r="C43" s="39">
        <v>1000</v>
      </c>
      <c r="D43" s="39">
        <v>1400</v>
      </c>
      <c r="E43" s="39">
        <v>1400</v>
      </c>
      <c r="F43" s="39">
        <v>1400</v>
      </c>
      <c r="G43" s="39">
        <v>1400</v>
      </c>
      <c r="H43" s="39">
        <v>1400</v>
      </c>
      <c r="I43" s="39">
        <v>1400</v>
      </c>
    </row>
    <row r="44" spans="2:10" x14ac:dyDescent="0.35">
      <c r="B44" s="11" t="s">
        <v>183</v>
      </c>
      <c r="C44" s="40">
        <v>8</v>
      </c>
      <c r="D44" s="40">
        <v>8</v>
      </c>
      <c r="E44" s="40">
        <v>8</v>
      </c>
      <c r="F44" s="40">
        <v>8</v>
      </c>
      <c r="G44" s="40">
        <v>8</v>
      </c>
      <c r="H44" s="40">
        <v>8</v>
      </c>
      <c r="I44" s="40">
        <v>8</v>
      </c>
      <c r="J44" t="s">
        <v>226</v>
      </c>
    </row>
    <row r="45" spans="2:10" x14ac:dyDescent="0.35">
      <c r="B45" s="18" t="s">
        <v>184</v>
      </c>
      <c r="C45" s="35">
        <f>C43*C44</f>
        <v>8000</v>
      </c>
      <c r="D45" s="35">
        <f t="shared" ref="D45:I45" si="6">D43*D44</f>
        <v>11200</v>
      </c>
      <c r="E45" s="35">
        <f t="shared" si="6"/>
        <v>11200</v>
      </c>
      <c r="F45" s="35">
        <f t="shared" si="6"/>
        <v>11200</v>
      </c>
      <c r="G45" s="35">
        <f t="shared" si="6"/>
        <v>11200</v>
      </c>
      <c r="H45" s="35">
        <f t="shared" si="6"/>
        <v>11200</v>
      </c>
      <c r="I45" s="35">
        <f t="shared" si="6"/>
        <v>11200</v>
      </c>
    </row>
    <row r="46" spans="2:10" x14ac:dyDescent="0.35">
      <c r="C46" s="32"/>
      <c r="D46" s="32"/>
      <c r="E46" s="32"/>
      <c r="F46" s="32"/>
      <c r="G46" s="32"/>
      <c r="H46" s="32"/>
      <c r="I46" s="32"/>
    </row>
    <row r="47" spans="2:10" x14ac:dyDescent="0.35">
      <c r="B47" t="s">
        <v>185</v>
      </c>
      <c r="C47" s="32"/>
      <c r="D47" s="32"/>
      <c r="E47" s="32"/>
      <c r="F47" s="32"/>
      <c r="G47" s="32"/>
      <c r="H47" s="32"/>
      <c r="I47" s="32"/>
    </row>
    <row r="48" spans="2:10" x14ac:dyDescent="0.35">
      <c r="B48" s="11" t="s">
        <v>186</v>
      </c>
      <c r="C48" s="39">
        <v>2500</v>
      </c>
      <c r="D48" s="39">
        <v>3500</v>
      </c>
      <c r="E48" s="39">
        <v>3500</v>
      </c>
      <c r="F48" s="39">
        <v>3500</v>
      </c>
      <c r="G48" s="39">
        <v>3500</v>
      </c>
      <c r="H48" s="39">
        <v>3500</v>
      </c>
      <c r="I48" s="39">
        <v>3500</v>
      </c>
    </row>
    <row r="49" spans="2:9" x14ac:dyDescent="0.35">
      <c r="B49" s="11" t="s">
        <v>187</v>
      </c>
      <c r="C49" s="39">
        <v>1500</v>
      </c>
      <c r="D49" s="39">
        <v>2100</v>
      </c>
      <c r="E49" s="39">
        <v>2100</v>
      </c>
      <c r="F49" s="39">
        <v>2100</v>
      </c>
      <c r="G49" s="39">
        <v>2100</v>
      </c>
      <c r="H49" s="39">
        <v>2100</v>
      </c>
      <c r="I49" s="39">
        <v>2100</v>
      </c>
    </row>
    <row r="50" spans="2:9" x14ac:dyDescent="0.35">
      <c r="B50" s="11" t="s">
        <v>188</v>
      </c>
      <c r="C50" s="39">
        <v>1000</v>
      </c>
      <c r="D50" s="39">
        <v>1400</v>
      </c>
      <c r="E50" s="39">
        <v>1400</v>
      </c>
      <c r="F50" s="39">
        <v>1400</v>
      </c>
      <c r="G50" s="39">
        <v>1400</v>
      </c>
      <c r="H50" s="39">
        <v>1400</v>
      </c>
      <c r="I50" s="39">
        <v>1400</v>
      </c>
    </row>
    <row r="51" spans="2:9" x14ac:dyDescent="0.35">
      <c r="B51" s="18" t="s">
        <v>189</v>
      </c>
      <c r="C51" s="35">
        <f>SUM(C48:C50)</f>
        <v>5000</v>
      </c>
      <c r="D51" s="35">
        <f t="shared" ref="D51:I51" si="7">SUM(D48:D50)</f>
        <v>7000</v>
      </c>
      <c r="E51" s="35">
        <f t="shared" si="7"/>
        <v>7000</v>
      </c>
      <c r="F51" s="35">
        <f t="shared" si="7"/>
        <v>7000</v>
      </c>
      <c r="G51" s="35">
        <f t="shared" si="7"/>
        <v>7000</v>
      </c>
      <c r="H51" s="35">
        <f t="shared" si="7"/>
        <v>7000</v>
      </c>
      <c r="I51" s="35">
        <f t="shared" si="7"/>
        <v>7000</v>
      </c>
    </row>
    <row r="52" spans="2:9" x14ac:dyDescent="0.35">
      <c r="C52" s="32"/>
      <c r="D52" s="32"/>
      <c r="E52" s="32"/>
      <c r="F52" s="32"/>
      <c r="G52" s="32"/>
      <c r="H52" s="32"/>
      <c r="I52" s="32"/>
    </row>
    <row r="53" spans="2:9" x14ac:dyDescent="0.35">
      <c r="B53" t="s">
        <v>190</v>
      </c>
      <c r="C53" s="32"/>
      <c r="D53" s="32"/>
      <c r="E53" s="32"/>
      <c r="F53" s="32"/>
      <c r="G53" s="32"/>
      <c r="H53" s="32"/>
      <c r="I53" s="32"/>
    </row>
    <row r="54" spans="2:9" x14ac:dyDescent="0.35">
      <c r="B54" s="11" t="s">
        <v>191</v>
      </c>
      <c r="C54" s="39">
        <v>3000</v>
      </c>
      <c r="D54" s="39">
        <v>2000</v>
      </c>
      <c r="E54" s="39">
        <v>1000</v>
      </c>
      <c r="F54" s="40">
        <v>500</v>
      </c>
      <c r="G54" s="32"/>
      <c r="H54" s="32"/>
      <c r="I54" s="32"/>
    </row>
    <row r="55" spans="2:9" x14ac:dyDescent="0.35">
      <c r="B55" s="11" t="s">
        <v>192</v>
      </c>
      <c r="C55" s="39">
        <v>2000</v>
      </c>
      <c r="D55" s="39">
        <v>1000</v>
      </c>
      <c r="E55" s="40">
        <v>500</v>
      </c>
      <c r="F55" s="37"/>
      <c r="G55" s="32"/>
      <c r="H55" s="32"/>
      <c r="I55" s="32"/>
    </row>
    <row r="56" spans="2:9" x14ac:dyDescent="0.35">
      <c r="B56" s="11" t="s">
        <v>193</v>
      </c>
      <c r="C56" s="39">
        <v>2000</v>
      </c>
      <c r="D56" s="39">
        <v>1000</v>
      </c>
      <c r="E56" s="37"/>
      <c r="F56" s="37"/>
      <c r="G56" s="32"/>
      <c r="H56" s="32"/>
      <c r="I56" s="32"/>
    </row>
    <row r="57" spans="2:9" x14ac:dyDescent="0.35">
      <c r="B57" s="18" t="s">
        <v>194</v>
      </c>
      <c r="C57" s="35">
        <f>SUM(C54:C56)</f>
        <v>7000</v>
      </c>
      <c r="D57" s="35">
        <f t="shared" ref="D57:F57" si="8">SUM(D54:D56)</f>
        <v>4000</v>
      </c>
      <c r="E57" s="35">
        <f t="shared" si="8"/>
        <v>1500</v>
      </c>
      <c r="F57" s="35">
        <f t="shared" si="8"/>
        <v>500</v>
      </c>
      <c r="G57" s="32"/>
      <c r="H57" s="32"/>
      <c r="I57" s="32"/>
    </row>
    <row r="58" spans="2:9" x14ac:dyDescent="0.35">
      <c r="C58" s="32"/>
      <c r="D58" s="32"/>
      <c r="E58" s="32"/>
      <c r="F58" s="32"/>
      <c r="G58" s="32"/>
      <c r="H58" s="32"/>
      <c r="I58" s="32"/>
    </row>
    <row r="59" spans="2:9" x14ac:dyDescent="0.35">
      <c r="B59" t="s">
        <v>195</v>
      </c>
      <c r="C59" s="32"/>
      <c r="D59" s="32"/>
      <c r="E59" s="32"/>
      <c r="F59" s="32"/>
      <c r="G59" s="32"/>
      <c r="H59" s="32"/>
      <c r="I59" s="32"/>
    </row>
    <row r="60" spans="2:9" x14ac:dyDescent="0.35">
      <c r="B60" s="11" t="s">
        <v>196</v>
      </c>
      <c r="C60" s="37"/>
      <c r="D60" s="39">
        <v>5000</v>
      </c>
      <c r="E60" s="39">
        <v>5000</v>
      </c>
      <c r="F60" s="39">
        <v>5000</v>
      </c>
      <c r="G60" s="39">
        <v>5000</v>
      </c>
      <c r="H60" s="39">
        <v>5000</v>
      </c>
      <c r="I60" s="39">
        <v>5000</v>
      </c>
    </row>
    <row r="61" spans="2:9" x14ac:dyDescent="0.35">
      <c r="B61" s="11" t="s">
        <v>197</v>
      </c>
      <c r="C61" s="39">
        <v>1000</v>
      </c>
      <c r="D61" s="39">
        <v>1000</v>
      </c>
      <c r="E61" s="39">
        <v>1000</v>
      </c>
      <c r="F61" s="39">
        <v>1000</v>
      </c>
      <c r="G61" s="39">
        <v>1000</v>
      </c>
      <c r="H61" s="39">
        <v>1000</v>
      </c>
      <c r="I61" s="39">
        <v>1000</v>
      </c>
    </row>
    <row r="62" spans="2:9" x14ac:dyDescent="0.35">
      <c r="B62" s="11" t="s">
        <v>198</v>
      </c>
      <c r="C62" s="40">
        <v>500</v>
      </c>
      <c r="D62" s="40">
        <v>800</v>
      </c>
      <c r="E62" s="40">
        <v>800</v>
      </c>
      <c r="F62" s="40">
        <v>800</v>
      </c>
      <c r="G62" s="40">
        <v>800</v>
      </c>
      <c r="H62" s="40">
        <v>800</v>
      </c>
      <c r="I62" s="40">
        <v>800</v>
      </c>
    </row>
    <row r="63" spans="2:9" x14ac:dyDescent="0.35">
      <c r="B63" s="18" t="s">
        <v>199</v>
      </c>
      <c r="C63" s="35">
        <f>SUM(C60:C62)</f>
        <v>1500</v>
      </c>
      <c r="D63" s="35">
        <f t="shared" ref="D63:I63" si="9">SUM(D60:D62)</f>
        <v>6800</v>
      </c>
      <c r="E63" s="35">
        <f t="shared" si="9"/>
        <v>6800</v>
      </c>
      <c r="F63" s="35">
        <f t="shared" si="9"/>
        <v>6800</v>
      </c>
      <c r="G63" s="35">
        <f t="shared" si="9"/>
        <v>6800</v>
      </c>
      <c r="H63" s="35">
        <f t="shared" si="9"/>
        <v>6800</v>
      </c>
      <c r="I63" s="35">
        <f t="shared" si="9"/>
        <v>6800</v>
      </c>
    </row>
    <row r="64" spans="2:9" x14ac:dyDescent="0.35">
      <c r="C64" s="32"/>
      <c r="D64" s="32"/>
      <c r="E64" s="32"/>
      <c r="F64" s="32"/>
      <c r="G64" s="32"/>
      <c r="H64" s="32"/>
      <c r="I64" s="32"/>
    </row>
    <row r="65" spans="2:9" x14ac:dyDescent="0.35">
      <c r="B65" s="18" t="s">
        <v>200</v>
      </c>
      <c r="C65" s="35">
        <f>SUM(C45,C51,C57,C63)</f>
        <v>21500</v>
      </c>
      <c r="D65" s="35">
        <f t="shared" ref="D65:I65" si="10">SUM(D45,D51,D57,D63)</f>
        <v>29000</v>
      </c>
      <c r="E65" s="35">
        <f t="shared" si="10"/>
        <v>26500</v>
      </c>
      <c r="F65" s="35">
        <f t="shared" si="10"/>
        <v>25500</v>
      </c>
      <c r="G65" s="35">
        <f t="shared" si="10"/>
        <v>25000</v>
      </c>
      <c r="H65" s="35">
        <f t="shared" si="10"/>
        <v>25000</v>
      </c>
      <c r="I65" s="35">
        <f t="shared" si="10"/>
        <v>25000</v>
      </c>
    </row>
    <row r="68" spans="2:9" ht="15.5" x14ac:dyDescent="0.35">
      <c r="B68" s="105" t="s">
        <v>201</v>
      </c>
      <c r="C68" s="105"/>
      <c r="D68" s="105"/>
      <c r="E68" s="105"/>
      <c r="F68" s="105"/>
      <c r="G68" s="105"/>
      <c r="H68" s="105"/>
      <c r="I68" s="105"/>
    </row>
    <row r="69" spans="2:9" ht="15.5" x14ac:dyDescent="0.35">
      <c r="B69" s="77"/>
      <c r="C69" s="77"/>
      <c r="D69" s="77"/>
      <c r="E69" s="77"/>
      <c r="F69" s="77"/>
      <c r="G69" s="77"/>
      <c r="H69" s="77"/>
      <c r="I69" s="77"/>
    </row>
    <row r="70" spans="2:9" ht="15" thickBot="1" x14ac:dyDescent="0.4">
      <c r="B70" s="66" t="s">
        <v>202</v>
      </c>
      <c r="C70" s="41">
        <f t="shared" ref="C70:I70" si="11">C27</f>
        <v>351999.41750000004</v>
      </c>
      <c r="D70" s="41">
        <f t="shared" si="11"/>
        <v>492799.18450000003</v>
      </c>
      <c r="E70" s="41">
        <f t="shared" si="11"/>
        <v>492799.18450000003</v>
      </c>
      <c r="F70" s="41">
        <f t="shared" si="11"/>
        <v>492799.18450000003</v>
      </c>
      <c r="G70" s="41">
        <f t="shared" si="11"/>
        <v>492799.18450000003</v>
      </c>
      <c r="H70" s="41">
        <f t="shared" si="11"/>
        <v>492799.18450000003</v>
      </c>
      <c r="I70" s="41">
        <f t="shared" si="11"/>
        <v>492799.18450000003</v>
      </c>
    </row>
    <row r="71" spans="2:9" ht="15" thickTop="1" x14ac:dyDescent="0.35">
      <c r="B71" s="18" t="s">
        <v>203</v>
      </c>
      <c r="C71" s="35">
        <f>-C39</f>
        <v>-30000</v>
      </c>
      <c r="D71" s="35">
        <f>-D39</f>
        <v>-16000</v>
      </c>
    </row>
    <row r="72" spans="2:9" x14ac:dyDescent="0.35">
      <c r="B72" s="18" t="s">
        <v>204</v>
      </c>
      <c r="C72" s="35">
        <f>-C65</f>
        <v>-21500</v>
      </c>
      <c r="D72" s="35">
        <f t="shared" ref="D72:I72" si="12">-D65</f>
        <v>-29000</v>
      </c>
      <c r="E72" s="35">
        <f t="shared" si="12"/>
        <v>-26500</v>
      </c>
      <c r="F72" s="35">
        <f t="shared" si="12"/>
        <v>-25500</v>
      </c>
      <c r="G72" s="35">
        <f t="shared" si="12"/>
        <v>-25000</v>
      </c>
      <c r="H72" s="35">
        <f t="shared" si="12"/>
        <v>-25000</v>
      </c>
      <c r="I72" s="35">
        <f t="shared" si="12"/>
        <v>-25000</v>
      </c>
    </row>
    <row r="73" spans="2:9" ht="15" thickBot="1" x14ac:dyDescent="0.4">
      <c r="B73" s="18" t="s">
        <v>205</v>
      </c>
      <c r="C73" s="69">
        <f>C70+C71+C72</f>
        <v>300499.41750000004</v>
      </c>
      <c r="D73" s="69">
        <f t="shared" ref="D73:I73" si="13">D70+D71+D72</f>
        <v>447799.18450000003</v>
      </c>
      <c r="E73" s="69">
        <f t="shared" si="13"/>
        <v>466299.18450000003</v>
      </c>
      <c r="F73" s="69">
        <f t="shared" si="13"/>
        <v>467299.18450000003</v>
      </c>
      <c r="G73" s="69">
        <f t="shared" si="13"/>
        <v>467799.18450000003</v>
      </c>
      <c r="H73" s="69">
        <f t="shared" si="13"/>
        <v>467799.18450000003</v>
      </c>
      <c r="I73" s="69">
        <f t="shared" si="13"/>
        <v>467799.18450000003</v>
      </c>
    </row>
    <row r="74" spans="2:9" ht="15" thickTop="1" x14ac:dyDescent="0.35"/>
    <row r="75" spans="2:9" x14ac:dyDescent="0.35">
      <c r="B75" t="s">
        <v>71</v>
      </c>
      <c r="C75" s="46">
        <f>(C73/C30)</f>
        <v>0.85369293970493576</v>
      </c>
      <c r="D75" s="46">
        <f t="shared" ref="D75:I75" si="14">(D73/D30)</f>
        <v>0.90868491382416239</v>
      </c>
      <c r="E75" s="46">
        <f t="shared" si="14"/>
        <v>0.94622556036311789</v>
      </c>
      <c r="F75" s="46">
        <f t="shared" si="14"/>
        <v>0.94825478450035872</v>
      </c>
      <c r="G75" s="46">
        <f t="shared" si="14"/>
        <v>0.94926939656897913</v>
      </c>
      <c r="H75" s="46">
        <f t="shared" si="14"/>
        <v>0.94926939656897913</v>
      </c>
      <c r="I75" s="46">
        <f t="shared" si="14"/>
        <v>0.94926939656897913</v>
      </c>
    </row>
    <row r="76" spans="2:9" x14ac:dyDescent="0.35">
      <c r="B76" t="s">
        <v>206</v>
      </c>
      <c r="C76" s="47">
        <f>(C73/C39)</f>
        <v>10.016647250000002</v>
      </c>
      <c r="D76" s="47">
        <f>(D73/D39)</f>
        <v>27.987449031250001</v>
      </c>
    </row>
    <row r="77" spans="2:9" x14ac:dyDescent="0.35">
      <c r="B77" t="s">
        <v>207</v>
      </c>
      <c r="C77" s="48">
        <f>(C39+D39)/(C73/12)</f>
        <v>1.8369419967344858</v>
      </c>
    </row>
    <row r="79" spans="2:9" x14ac:dyDescent="0.35">
      <c r="B79" s="49" t="s">
        <v>208</v>
      </c>
      <c r="C79" s="25"/>
      <c r="D79" s="25"/>
      <c r="E79" s="25"/>
      <c r="F79" s="25"/>
      <c r="G79" s="25"/>
      <c r="H79" s="25"/>
      <c r="I79" s="25"/>
    </row>
    <row r="80" spans="2:9" x14ac:dyDescent="0.35">
      <c r="B80" t="s">
        <v>209</v>
      </c>
      <c r="C80" s="35">
        <f>C30</f>
        <v>351999.41750000004</v>
      </c>
      <c r="D80" s="35">
        <f>SUM($C$30:D30)</f>
        <v>844798.60200000007</v>
      </c>
      <c r="E80" s="35">
        <f>SUM($C$30:E30)</f>
        <v>1337597.7865000002</v>
      </c>
      <c r="F80" s="35">
        <f>SUM($C$30:F30)</f>
        <v>1830396.9710000001</v>
      </c>
      <c r="G80" s="35">
        <f>SUM($C$30:G30)</f>
        <v>2323196.1555000003</v>
      </c>
      <c r="H80" s="35">
        <f>SUM($C$30:H30)</f>
        <v>2815995.3400000003</v>
      </c>
      <c r="I80" s="35">
        <f>SUM($C$30:I30)</f>
        <v>3308794.5245000003</v>
      </c>
    </row>
    <row r="81" spans="2:10" x14ac:dyDescent="0.35">
      <c r="B81" s="18" t="s">
        <v>210</v>
      </c>
      <c r="C81" s="35">
        <f>C65+C39</f>
        <v>51500</v>
      </c>
      <c r="D81" s="35">
        <f>SUM($C$65:D65)+SUM($C$39:D39)</f>
        <v>96500</v>
      </c>
      <c r="E81" s="35">
        <f>SUM($C$65:E65)+SUM($C$39:E39)</f>
        <v>123000</v>
      </c>
      <c r="F81" s="35">
        <f>SUM($C$65:F65)+SUM($C$39:F39)</f>
        <v>148500</v>
      </c>
      <c r="G81" s="35">
        <f>SUM($C$65:G65)+SUM($C$39:G39)</f>
        <v>173500</v>
      </c>
      <c r="H81" s="35">
        <f>SUM($C$65:H65)+SUM($C$39:H39)</f>
        <v>198500</v>
      </c>
      <c r="I81" s="35">
        <f>SUM($C$65:I65)+SUM($C$39:I39)</f>
        <v>223500</v>
      </c>
    </row>
    <row r="82" spans="2:10" x14ac:dyDescent="0.35">
      <c r="B82" t="s">
        <v>211</v>
      </c>
      <c r="C82" s="41">
        <f>C80-C81</f>
        <v>300499.41750000004</v>
      </c>
      <c r="D82" s="41">
        <f t="shared" ref="D82:I82" si="15">D80-D81</f>
        <v>748298.60200000007</v>
      </c>
      <c r="E82" s="41">
        <f t="shared" si="15"/>
        <v>1214597.7865000002</v>
      </c>
      <c r="F82" s="41">
        <f t="shared" si="15"/>
        <v>1681896.9710000001</v>
      </c>
      <c r="G82" s="41">
        <f t="shared" si="15"/>
        <v>2149696.1555000003</v>
      </c>
      <c r="H82" s="41">
        <f t="shared" si="15"/>
        <v>2617495.3400000003</v>
      </c>
      <c r="I82" s="41">
        <f t="shared" si="15"/>
        <v>3085294.5245000003</v>
      </c>
    </row>
    <row r="85" spans="2:10" ht="21" x14ac:dyDescent="0.5">
      <c r="B85" s="104" t="s">
        <v>336</v>
      </c>
      <c r="C85" s="104"/>
      <c r="D85" s="104"/>
      <c r="E85" s="104"/>
      <c r="F85" s="104"/>
      <c r="G85" s="104"/>
      <c r="H85" s="104"/>
      <c r="I85" s="104"/>
    </row>
    <row r="86" spans="2:10" x14ac:dyDescent="0.35">
      <c r="B86" s="42" t="s">
        <v>227</v>
      </c>
      <c r="C86" s="19" t="s">
        <v>40</v>
      </c>
      <c r="D86" s="19" t="s">
        <v>41</v>
      </c>
      <c r="E86" s="19" t="s">
        <v>42</v>
      </c>
      <c r="F86" s="19" t="s">
        <v>43</v>
      </c>
      <c r="G86" s="19" t="s">
        <v>44</v>
      </c>
      <c r="H86" s="19" t="s">
        <v>45</v>
      </c>
      <c r="I86" s="19" t="s">
        <v>46</v>
      </c>
    </row>
    <row r="88" spans="2:10" x14ac:dyDescent="0.35">
      <c r="B88" s="99" t="s">
        <v>154</v>
      </c>
      <c r="C88" s="100"/>
      <c r="D88" s="100"/>
      <c r="E88" s="100"/>
      <c r="F88" s="100"/>
      <c r="G88" s="100"/>
      <c r="H88" s="100"/>
      <c r="I88" s="100"/>
      <c r="J88" s="100"/>
    </row>
    <row r="89" spans="2:10" x14ac:dyDescent="0.35">
      <c r="B89" s="52" t="s">
        <v>234</v>
      </c>
    </row>
    <row r="90" spans="2:10" x14ac:dyDescent="0.35">
      <c r="B90" t="s">
        <v>235</v>
      </c>
      <c r="D90" s="5">
        <v>310000</v>
      </c>
      <c r="E90" s="5">
        <v>310000</v>
      </c>
      <c r="F90" s="5">
        <v>310000</v>
      </c>
      <c r="G90" s="5">
        <v>310000</v>
      </c>
      <c r="H90" s="5">
        <v>310000</v>
      </c>
      <c r="I90" s="5">
        <v>310000</v>
      </c>
    </row>
    <row r="91" spans="2:10" x14ac:dyDescent="0.35">
      <c r="B91" t="s">
        <v>236</v>
      </c>
      <c r="G91" s="5">
        <v>250000</v>
      </c>
      <c r="H91" s="5">
        <v>250000</v>
      </c>
      <c r="I91" s="5">
        <v>250000</v>
      </c>
    </row>
    <row r="92" spans="2:10" x14ac:dyDescent="0.35">
      <c r="B92" s="54" t="s">
        <v>237</v>
      </c>
      <c r="D92" s="55">
        <v>310000</v>
      </c>
      <c r="E92" s="55">
        <v>310000</v>
      </c>
      <c r="F92" s="55">
        <v>310000</v>
      </c>
      <c r="G92" s="55">
        <v>560000</v>
      </c>
      <c r="H92" s="55">
        <v>560000</v>
      </c>
      <c r="I92" s="55">
        <v>560000</v>
      </c>
    </row>
    <row r="93" spans="2:10" x14ac:dyDescent="0.35">
      <c r="H93" s="23"/>
      <c r="I93" s="23"/>
    </row>
    <row r="94" spans="2:10" x14ac:dyDescent="0.35">
      <c r="B94" s="52" t="s">
        <v>238</v>
      </c>
    </row>
    <row r="95" spans="2:10" x14ac:dyDescent="0.35">
      <c r="B95" t="s">
        <v>239</v>
      </c>
      <c r="G95" s="5">
        <v>17000</v>
      </c>
      <c r="H95" s="5">
        <v>34000</v>
      </c>
      <c r="I95" s="5">
        <v>34000</v>
      </c>
    </row>
    <row r="96" spans="2:10" x14ac:dyDescent="0.35">
      <c r="B96" t="s">
        <v>240</v>
      </c>
      <c r="G96" s="5">
        <v>4250</v>
      </c>
      <c r="H96" s="5">
        <v>8500</v>
      </c>
      <c r="I96" s="5">
        <v>8500</v>
      </c>
    </row>
    <row r="97" spans="2:9" x14ac:dyDescent="0.35">
      <c r="B97" t="s">
        <v>241</v>
      </c>
      <c r="G97" s="5">
        <v>46000</v>
      </c>
      <c r="H97" s="5">
        <v>92000</v>
      </c>
      <c r="I97" s="5">
        <v>92000</v>
      </c>
    </row>
    <row r="98" spans="2:9" x14ac:dyDescent="0.35">
      <c r="B98" t="s">
        <v>242</v>
      </c>
      <c r="G98" s="5">
        <v>31000</v>
      </c>
      <c r="H98" s="5">
        <v>62000</v>
      </c>
      <c r="I98" s="5">
        <v>62000</v>
      </c>
    </row>
    <row r="99" spans="2:9" x14ac:dyDescent="0.35">
      <c r="B99" t="s">
        <v>243</v>
      </c>
      <c r="G99" s="5">
        <v>10000</v>
      </c>
      <c r="H99" s="5">
        <v>20000</v>
      </c>
      <c r="I99" s="5">
        <v>20000</v>
      </c>
    </row>
    <row r="100" spans="2:9" x14ac:dyDescent="0.35">
      <c r="B100" t="s">
        <v>244</v>
      </c>
      <c r="G100" s="5">
        <v>108250</v>
      </c>
      <c r="H100" s="5">
        <v>216500</v>
      </c>
      <c r="I100" s="5">
        <v>216500</v>
      </c>
    </row>
    <row r="101" spans="2:9" x14ac:dyDescent="0.35">
      <c r="B101" t="s">
        <v>245</v>
      </c>
      <c r="D101" s="5">
        <v>310000</v>
      </c>
      <c r="E101" s="5">
        <v>310000</v>
      </c>
      <c r="F101" s="5">
        <v>310000</v>
      </c>
      <c r="G101" s="5">
        <v>418250</v>
      </c>
      <c r="H101" s="5">
        <v>526500</v>
      </c>
      <c r="I101" s="5">
        <v>526500</v>
      </c>
    </row>
    <row r="102" spans="2:9" x14ac:dyDescent="0.35">
      <c r="B102" t="s">
        <v>246</v>
      </c>
      <c r="D102" s="3">
        <v>1</v>
      </c>
      <c r="E102" s="3">
        <v>1</v>
      </c>
      <c r="F102" s="3">
        <v>1</v>
      </c>
      <c r="G102" s="3">
        <v>0.747</v>
      </c>
      <c r="H102" s="3">
        <v>0.94</v>
      </c>
      <c r="I102" s="3">
        <v>0.94</v>
      </c>
    </row>
    <row r="104" spans="2:9" x14ac:dyDescent="0.35">
      <c r="B104" s="52" t="s">
        <v>247</v>
      </c>
    </row>
    <row r="105" spans="2:9" x14ac:dyDescent="0.35">
      <c r="B105" t="s">
        <v>330</v>
      </c>
      <c r="D105" s="60">
        <f>4867.93/1000</f>
        <v>4.8679300000000003</v>
      </c>
      <c r="E105" s="60">
        <f t="shared" ref="E105:I105" si="16">4867.93/1000</f>
        <v>4.8679300000000003</v>
      </c>
      <c r="F105" s="60">
        <f t="shared" si="16"/>
        <v>4.8679300000000003</v>
      </c>
      <c r="G105" s="60">
        <f t="shared" si="16"/>
        <v>4.8679300000000003</v>
      </c>
      <c r="H105" s="60">
        <f t="shared" si="16"/>
        <v>4.8679300000000003</v>
      </c>
      <c r="I105" s="60">
        <f t="shared" si="16"/>
        <v>4.8679300000000003</v>
      </c>
    </row>
    <row r="106" spans="2:9" x14ac:dyDescent="0.35">
      <c r="B106" t="s">
        <v>248</v>
      </c>
      <c r="G106" s="59">
        <v>17000</v>
      </c>
      <c r="H106" s="59">
        <v>34000</v>
      </c>
      <c r="I106" s="59">
        <v>34000</v>
      </c>
    </row>
    <row r="107" spans="2:9" x14ac:dyDescent="0.35">
      <c r="B107" t="s">
        <v>249</v>
      </c>
      <c r="G107" s="5">
        <f>G105*G106</f>
        <v>82754.810000000012</v>
      </c>
      <c r="H107" s="5">
        <f t="shared" ref="H107:I107" si="17">H105*H106</f>
        <v>165509.62000000002</v>
      </c>
      <c r="I107" s="5">
        <f t="shared" si="17"/>
        <v>165509.62000000002</v>
      </c>
    </row>
    <row r="109" spans="2:9" x14ac:dyDescent="0.35">
      <c r="B109" t="s">
        <v>331</v>
      </c>
      <c r="D109" s="60">
        <f>6752.29/1000</f>
        <v>6.7522900000000003</v>
      </c>
      <c r="E109" s="60">
        <f t="shared" ref="E109:I109" si="18">6752.29/1000</f>
        <v>6.7522900000000003</v>
      </c>
      <c r="F109" s="60">
        <f t="shared" si="18"/>
        <v>6.7522900000000003</v>
      </c>
      <c r="G109" s="60">
        <f t="shared" si="18"/>
        <v>6.7522900000000003</v>
      </c>
      <c r="H109" s="60">
        <f t="shared" si="18"/>
        <v>6.7522900000000003</v>
      </c>
      <c r="I109" s="60">
        <f t="shared" si="18"/>
        <v>6.7522900000000003</v>
      </c>
    </row>
    <row r="110" spans="2:9" x14ac:dyDescent="0.35">
      <c r="B110" t="s">
        <v>250</v>
      </c>
      <c r="G110" s="59">
        <v>4250</v>
      </c>
      <c r="H110" s="59">
        <v>8500</v>
      </c>
      <c r="I110" s="59">
        <v>8500</v>
      </c>
    </row>
    <row r="111" spans="2:9" x14ac:dyDescent="0.35">
      <c r="B111" t="s">
        <v>251</v>
      </c>
      <c r="G111" s="5">
        <f>G109*G110</f>
        <v>28697.232500000002</v>
      </c>
      <c r="H111" s="5">
        <f t="shared" ref="H111:I111" si="19">H109*H110</f>
        <v>57394.465000000004</v>
      </c>
      <c r="I111" s="5">
        <f t="shared" si="19"/>
        <v>57394.465000000004</v>
      </c>
    </row>
    <row r="113" spans="2:9" x14ac:dyDescent="0.35">
      <c r="B113" t="s">
        <v>332</v>
      </c>
      <c r="D113" s="60">
        <f>7066.35/1000</f>
        <v>7.0663500000000008</v>
      </c>
      <c r="E113" s="60">
        <f t="shared" ref="E113:I113" si="20">7066.35/1000</f>
        <v>7.0663500000000008</v>
      </c>
      <c r="F113" s="60">
        <f t="shared" si="20"/>
        <v>7.0663500000000008</v>
      </c>
      <c r="G113" s="60">
        <f t="shared" si="20"/>
        <v>7.0663500000000008</v>
      </c>
      <c r="H113" s="60">
        <f t="shared" si="20"/>
        <v>7.0663500000000008</v>
      </c>
      <c r="I113" s="60">
        <f t="shared" si="20"/>
        <v>7.0663500000000008</v>
      </c>
    </row>
    <row r="114" spans="2:9" x14ac:dyDescent="0.35">
      <c r="B114" t="s">
        <v>252</v>
      </c>
      <c r="G114" s="59">
        <v>46000</v>
      </c>
      <c r="H114" s="59">
        <v>92000</v>
      </c>
      <c r="I114" s="59">
        <v>92000</v>
      </c>
    </row>
    <row r="115" spans="2:9" x14ac:dyDescent="0.35">
      <c r="B115" t="s">
        <v>253</v>
      </c>
      <c r="G115" s="5">
        <f>G113*G114</f>
        <v>325052.10000000003</v>
      </c>
      <c r="H115" s="5">
        <f t="shared" ref="H115:I115" si="21">H113*H114</f>
        <v>650104.20000000007</v>
      </c>
      <c r="I115" s="5">
        <f t="shared" si="21"/>
        <v>650104.20000000007</v>
      </c>
    </row>
    <row r="117" spans="2:9" x14ac:dyDescent="0.35">
      <c r="B117" t="s">
        <v>333</v>
      </c>
      <c r="D117" s="60">
        <f>10206.95/1000</f>
        <v>10.206950000000001</v>
      </c>
      <c r="E117" s="60">
        <f t="shared" ref="E117:I117" si="22">10206.95/1000</f>
        <v>10.206950000000001</v>
      </c>
      <c r="F117" s="60">
        <f t="shared" si="22"/>
        <v>10.206950000000001</v>
      </c>
      <c r="G117" s="60">
        <f t="shared" si="22"/>
        <v>10.206950000000001</v>
      </c>
      <c r="H117" s="60">
        <f t="shared" si="22"/>
        <v>10.206950000000001</v>
      </c>
      <c r="I117" s="60">
        <f t="shared" si="22"/>
        <v>10.206950000000001</v>
      </c>
    </row>
    <row r="118" spans="2:9" x14ac:dyDescent="0.35">
      <c r="B118" t="s">
        <v>254</v>
      </c>
      <c r="G118" s="59">
        <v>31000</v>
      </c>
      <c r="H118" s="59">
        <v>62000</v>
      </c>
      <c r="I118" s="59">
        <v>62000</v>
      </c>
    </row>
    <row r="119" spans="2:9" x14ac:dyDescent="0.35">
      <c r="B119" t="s">
        <v>255</v>
      </c>
      <c r="G119" s="5">
        <f>G117*G118</f>
        <v>316415.45</v>
      </c>
      <c r="H119" s="5">
        <f t="shared" ref="H119:I119" si="23">H117*H118</f>
        <v>632830.9</v>
      </c>
      <c r="I119" s="5">
        <f t="shared" si="23"/>
        <v>632830.9</v>
      </c>
    </row>
    <row r="121" spans="2:9" x14ac:dyDescent="0.35">
      <c r="B121" t="s">
        <v>334</v>
      </c>
      <c r="D121" s="60">
        <f>4553.87/1000</f>
        <v>4.5538699999999999</v>
      </c>
      <c r="E121" s="60">
        <f t="shared" ref="E121:I121" si="24">4553.87/1000</f>
        <v>4.5538699999999999</v>
      </c>
      <c r="F121" s="60">
        <f t="shared" si="24"/>
        <v>4.5538699999999999</v>
      </c>
      <c r="G121" s="60">
        <f t="shared" si="24"/>
        <v>4.5538699999999999</v>
      </c>
      <c r="H121" s="60">
        <f t="shared" si="24"/>
        <v>4.5538699999999999</v>
      </c>
      <c r="I121" s="60">
        <f t="shared" si="24"/>
        <v>4.5538699999999999</v>
      </c>
    </row>
    <row r="122" spans="2:9" x14ac:dyDescent="0.35">
      <c r="B122" t="s">
        <v>256</v>
      </c>
      <c r="G122" s="59">
        <v>10000</v>
      </c>
      <c r="H122" s="59">
        <v>20000</v>
      </c>
      <c r="I122" s="59">
        <v>20000</v>
      </c>
    </row>
    <row r="123" spans="2:9" x14ac:dyDescent="0.35">
      <c r="B123" t="s">
        <v>257</v>
      </c>
      <c r="G123" s="5">
        <f>G121*G122</f>
        <v>45538.7</v>
      </c>
      <c r="H123" s="5">
        <f t="shared" ref="H123:I123" si="25">H121*H122</f>
        <v>91077.4</v>
      </c>
      <c r="I123" s="5">
        <f t="shared" si="25"/>
        <v>91077.4</v>
      </c>
    </row>
    <row r="125" spans="2:9" x14ac:dyDescent="0.35">
      <c r="B125" s="54" t="s">
        <v>258</v>
      </c>
      <c r="G125" s="64">
        <f>SUM(G107,G111,G115,G119,G123)</f>
        <v>798458.29249999998</v>
      </c>
      <c r="H125" s="64">
        <f>SUM(H107,H111,H115,H119,H123)</f>
        <v>1596916.585</v>
      </c>
      <c r="I125" s="64">
        <f>SUM(I107,I111,I115,I119,I123)</f>
        <v>1596916.585</v>
      </c>
    </row>
    <row r="126" spans="2:9" x14ac:dyDescent="0.35">
      <c r="B126" t="s">
        <v>259</v>
      </c>
      <c r="G126" s="5">
        <f>G125*2</f>
        <v>1596916.585</v>
      </c>
      <c r="H126" s="5">
        <f t="shared" ref="H126:I126" si="26">H125*2</f>
        <v>3193833.17</v>
      </c>
      <c r="I126" s="5">
        <f t="shared" si="26"/>
        <v>3193833.17</v>
      </c>
    </row>
    <row r="128" spans="2:9" x14ac:dyDescent="0.35">
      <c r="B128" s="52" t="s">
        <v>260</v>
      </c>
    </row>
    <row r="129" spans="2:8" x14ac:dyDescent="0.35">
      <c r="B129" s="98" t="s">
        <v>261</v>
      </c>
      <c r="C129" s="89"/>
      <c r="D129" s="89"/>
      <c r="E129" s="89"/>
      <c r="F129" s="89"/>
      <c r="G129" s="89"/>
      <c r="H129" s="89"/>
    </row>
    <row r="131" spans="2:8" x14ac:dyDescent="0.35">
      <c r="B131" s="53" t="s">
        <v>262</v>
      </c>
    </row>
    <row r="132" spans="2:8" x14ac:dyDescent="0.35">
      <c r="B132" t="s">
        <v>263</v>
      </c>
      <c r="D132" s="61">
        <v>20000</v>
      </c>
    </row>
    <row r="133" spans="2:8" x14ac:dyDescent="0.35">
      <c r="B133" t="s">
        <v>264</v>
      </c>
      <c r="D133" s="62">
        <v>25000</v>
      </c>
    </row>
    <row r="134" spans="2:8" x14ac:dyDescent="0.35">
      <c r="B134" t="s">
        <v>265</v>
      </c>
      <c r="D134" s="62">
        <v>20000</v>
      </c>
    </row>
    <row r="135" spans="2:8" x14ac:dyDescent="0.35">
      <c r="B135" t="s">
        <v>266</v>
      </c>
      <c r="D135" s="62">
        <v>15000</v>
      </c>
    </row>
    <row r="136" spans="2:8" x14ac:dyDescent="0.35">
      <c r="B136" t="s">
        <v>267</v>
      </c>
      <c r="D136" s="5">
        <f>SUM(D132:D135)</f>
        <v>80000</v>
      </c>
    </row>
    <row r="138" spans="2:8" x14ac:dyDescent="0.35">
      <c r="B138" s="53" t="s">
        <v>268</v>
      </c>
    </row>
    <row r="139" spans="2:8" x14ac:dyDescent="0.35">
      <c r="B139" t="s">
        <v>269</v>
      </c>
      <c r="E139" s="62">
        <v>30000</v>
      </c>
    </row>
    <row r="140" spans="2:8" x14ac:dyDescent="0.35">
      <c r="B140" t="s">
        <v>270</v>
      </c>
      <c r="E140" s="62">
        <v>15000</v>
      </c>
    </row>
    <row r="141" spans="2:8" x14ac:dyDescent="0.35">
      <c r="B141" t="s">
        <v>271</v>
      </c>
      <c r="E141" s="62">
        <v>25000</v>
      </c>
    </row>
    <row r="142" spans="2:8" x14ac:dyDescent="0.35">
      <c r="B142" t="s">
        <v>272</v>
      </c>
      <c r="E142" s="59">
        <v>10000</v>
      </c>
    </row>
    <row r="143" spans="2:8" x14ac:dyDescent="0.35">
      <c r="B143" t="s">
        <v>273</v>
      </c>
      <c r="E143" s="5">
        <f>SUM(E139:E142)</f>
        <v>80000</v>
      </c>
    </row>
    <row r="145" spans="2:9" x14ac:dyDescent="0.35">
      <c r="B145" s="53" t="s">
        <v>274</v>
      </c>
    </row>
    <row r="146" spans="2:9" x14ac:dyDescent="0.35">
      <c r="B146" t="s">
        <v>275</v>
      </c>
      <c r="F146" s="62">
        <v>35000</v>
      </c>
    </row>
    <row r="147" spans="2:9" x14ac:dyDescent="0.35">
      <c r="B147" t="s">
        <v>276</v>
      </c>
      <c r="F147" s="59">
        <v>15000</v>
      </c>
    </row>
    <row r="148" spans="2:9" x14ac:dyDescent="0.35">
      <c r="B148" t="s">
        <v>277</v>
      </c>
      <c r="F148" s="59">
        <v>12000</v>
      </c>
    </row>
    <row r="149" spans="2:9" x14ac:dyDescent="0.35">
      <c r="B149" t="s">
        <v>278</v>
      </c>
      <c r="F149" s="62">
        <v>10000</v>
      </c>
    </row>
    <row r="150" spans="2:9" x14ac:dyDescent="0.35">
      <c r="B150" t="s">
        <v>279</v>
      </c>
      <c r="F150" s="59">
        <v>8000</v>
      </c>
    </row>
    <row r="151" spans="2:9" x14ac:dyDescent="0.35">
      <c r="B151" t="s">
        <v>280</v>
      </c>
      <c r="F151" s="5">
        <f>SUM(F146:F150)</f>
        <v>80000</v>
      </c>
    </row>
    <row r="153" spans="2:9" x14ac:dyDescent="0.35">
      <c r="B153" s="54" t="s">
        <v>281</v>
      </c>
      <c r="D153" s="64">
        <f>D136</f>
        <v>80000</v>
      </c>
      <c r="E153" s="64">
        <f>E143</f>
        <v>80000</v>
      </c>
      <c r="F153" s="64">
        <f>F151</f>
        <v>80000</v>
      </c>
    </row>
    <row r="154" spans="2:9" x14ac:dyDescent="0.35">
      <c r="B154" t="s">
        <v>282</v>
      </c>
      <c r="D154" s="56">
        <v>80000</v>
      </c>
      <c r="E154" s="56">
        <v>160000</v>
      </c>
      <c r="F154" s="56">
        <v>240000</v>
      </c>
      <c r="G154" s="5"/>
      <c r="H154" s="5"/>
      <c r="I154" s="5"/>
    </row>
    <row r="156" spans="2:9" x14ac:dyDescent="0.35">
      <c r="B156" s="52" t="s">
        <v>283</v>
      </c>
    </row>
    <row r="157" spans="2:9" x14ac:dyDescent="0.35">
      <c r="B157" s="98" t="s">
        <v>284</v>
      </c>
      <c r="C157" s="89"/>
      <c r="D157" s="89"/>
      <c r="E157" s="89"/>
      <c r="F157" s="89"/>
      <c r="G157" s="89"/>
      <c r="H157" s="89"/>
    </row>
    <row r="159" spans="2:9" x14ac:dyDescent="0.35">
      <c r="B159" s="53" t="s">
        <v>181</v>
      </c>
    </row>
    <row r="160" spans="2:9" x14ac:dyDescent="0.35">
      <c r="B160" t="s">
        <v>285</v>
      </c>
      <c r="G160" s="59">
        <v>12011</v>
      </c>
      <c r="H160" s="59">
        <v>24022</v>
      </c>
      <c r="I160" s="59">
        <v>24022</v>
      </c>
    </row>
    <row r="161" spans="2:9" x14ac:dyDescent="0.35">
      <c r="B161" t="s">
        <v>286</v>
      </c>
      <c r="G161" s="59">
        <v>1178</v>
      </c>
      <c r="H161" s="59">
        <v>2355</v>
      </c>
      <c r="I161" s="59">
        <v>2355</v>
      </c>
    </row>
    <row r="162" spans="2:9" x14ac:dyDescent="0.35">
      <c r="B162" t="s">
        <v>287</v>
      </c>
      <c r="G162" s="59">
        <v>943</v>
      </c>
      <c r="H162" s="59">
        <v>1885</v>
      </c>
      <c r="I162" s="59">
        <v>1885</v>
      </c>
    </row>
    <row r="163" spans="2:9" x14ac:dyDescent="0.35">
      <c r="B163" t="s">
        <v>288</v>
      </c>
      <c r="G163" s="5">
        <f>SUM(G160:G162)</f>
        <v>14132</v>
      </c>
      <c r="H163" s="5">
        <f t="shared" ref="H163:I163" si="27">SUM(H160:H162)</f>
        <v>28262</v>
      </c>
      <c r="I163" s="5">
        <f t="shared" si="27"/>
        <v>28262</v>
      </c>
    </row>
    <row r="165" spans="2:9" x14ac:dyDescent="0.35">
      <c r="B165" s="53" t="s">
        <v>289</v>
      </c>
    </row>
    <row r="166" spans="2:9" x14ac:dyDescent="0.35">
      <c r="B166" t="s">
        <v>290</v>
      </c>
      <c r="G166" s="59">
        <v>13596</v>
      </c>
      <c r="H166" s="59">
        <v>27191</v>
      </c>
      <c r="I166" s="59">
        <v>27191</v>
      </c>
    </row>
    <row r="167" spans="2:9" x14ac:dyDescent="0.35">
      <c r="B167" t="s">
        <v>291</v>
      </c>
      <c r="G167" s="59">
        <v>10864</v>
      </c>
      <c r="H167" s="59">
        <v>21727</v>
      </c>
      <c r="I167" s="59">
        <v>21727</v>
      </c>
    </row>
    <row r="168" spans="2:9" x14ac:dyDescent="0.35">
      <c r="B168" t="s">
        <v>292</v>
      </c>
      <c r="G168" s="59">
        <v>7241</v>
      </c>
      <c r="H168" s="59">
        <v>14482</v>
      </c>
      <c r="I168" s="59">
        <v>14482</v>
      </c>
    </row>
    <row r="169" spans="2:9" x14ac:dyDescent="0.35">
      <c r="B169" t="s">
        <v>293</v>
      </c>
      <c r="G169" s="59">
        <v>10196</v>
      </c>
      <c r="H169" s="59">
        <v>20392</v>
      </c>
      <c r="I169" s="59">
        <v>20392</v>
      </c>
    </row>
    <row r="170" spans="2:9" x14ac:dyDescent="0.35">
      <c r="B170" t="s">
        <v>294</v>
      </c>
      <c r="G170" s="5">
        <f>SUM(G166:G169)</f>
        <v>41897</v>
      </c>
      <c r="H170" s="5">
        <f t="shared" ref="H170:I170" si="28">SUM(H166:H169)</f>
        <v>83792</v>
      </c>
      <c r="I170" s="5">
        <f t="shared" si="28"/>
        <v>83792</v>
      </c>
    </row>
    <row r="172" spans="2:9" x14ac:dyDescent="0.35">
      <c r="B172" s="53" t="s">
        <v>295</v>
      </c>
    </row>
    <row r="173" spans="2:9" x14ac:dyDescent="0.35">
      <c r="B173" t="s">
        <v>296</v>
      </c>
      <c r="G173" s="59">
        <v>2356</v>
      </c>
      <c r="H173" s="59">
        <v>4711</v>
      </c>
      <c r="I173" s="59">
        <v>4711</v>
      </c>
    </row>
    <row r="174" spans="2:9" x14ac:dyDescent="0.35">
      <c r="B174" t="s">
        <v>297</v>
      </c>
      <c r="G174" s="59">
        <v>1963</v>
      </c>
      <c r="H174" s="59">
        <v>3926</v>
      </c>
      <c r="I174" s="59">
        <v>3926</v>
      </c>
    </row>
    <row r="175" spans="2:9" x14ac:dyDescent="0.35">
      <c r="B175" t="s">
        <v>298</v>
      </c>
      <c r="G175" s="59">
        <v>1178</v>
      </c>
      <c r="H175" s="59">
        <v>2355</v>
      </c>
      <c r="I175" s="59">
        <v>2355</v>
      </c>
    </row>
    <row r="176" spans="2:9" x14ac:dyDescent="0.35">
      <c r="B176" t="s">
        <v>299</v>
      </c>
      <c r="G176" s="5">
        <f>SUM(G173:G175)</f>
        <v>5497</v>
      </c>
      <c r="H176" s="5">
        <f t="shared" ref="H176:I176" si="29">SUM(H173:H175)</f>
        <v>10992</v>
      </c>
      <c r="I176" s="5">
        <f t="shared" si="29"/>
        <v>10992</v>
      </c>
    </row>
    <row r="178" spans="2:9" x14ac:dyDescent="0.35">
      <c r="B178" s="53" t="s">
        <v>300</v>
      </c>
    </row>
    <row r="179" spans="2:9" x14ac:dyDescent="0.35">
      <c r="B179" t="s">
        <v>301</v>
      </c>
      <c r="G179" s="59">
        <v>4828</v>
      </c>
      <c r="H179" s="59">
        <v>9655</v>
      </c>
      <c r="I179" s="59">
        <v>9655</v>
      </c>
    </row>
    <row r="180" spans="2:9" x14ac:dyDescent="0.35">
      <c r="B180" t="s">
        <v>302</v>
      </c>
      <c r="G180" s="59">
        <v>3620</v>
      </c>
      <c r="H180" s="59">
        <v>7239</v>
      </c>
      <c r="I180" s="59">
        <v>7239</v>
      </c>
    </row>
    <row r="181" spans="2:9" x14ac:dyDescent="0.35">
      <c r="B181" t="s">
        <v>303</v>
      </c>
      <c r="G181" s="59">
        <v>2414</v>
      </c>
      <c r="H181" s="59">
        <v>4827</v>
      </c>
      <c r="I181" s="59">
        <v>4827</v>
      </c>
    </row>
    <row r="182" spans="2:9" x14ac:dyDescent="0.35">
      <c r="B182" t="s">
        <v>304</v>
      </c>
      <c r="G182" s="5">
        <f>SUM(G179:G181)</f>
        <v>10862</v>
      </c>
      <c r="H182" s="5">
        <f t="shared" ref="H182:I182" si="30">SUM(H179:H181)</f>
        <v>21721</v>
      </c>
      <c r="I182" s="5">
        <f t="shared" si="30"/>
        <v>21721</v>
      </c>
    </row>
    <row r="184" spans="2:9" x14ac:dyDescent="0.35">
      <c r="B184" s="53" t="s">
        <v>305</v>
      </c>
    </row>
    <row r="185" spans="2:9" x14ac:dyDescent="0.35">
      <c r="B185" t="s">
        <v>306</v>
      </c>
      <c r="G185" s="59">
        <v>5000</v>
      </c>
      <c r="H185" s="59">
        <v>1000</v>
      </c>
    </row>
    <row r="186" spans="2:9" x14ac:dyDescent="0.35">
      <c r="B186" t="s">
        <v>307</v>
      </c>
      <c r="G186" s="59">
        <v>3000</v>
      </c>
      <c r="H186" s="59">
        <v>500</v>
      </c>
    </row>
    <row r="187" spans="2:9" x14ac:dyDescent="0.35">
      <c r="B187" t="s">
        <v>308</v>
      </c>
      <c r="G187" s="5">
        <v>8000</v>
      </c>
      <c r="H187" s="5">
        <v>1500</v>
      </c>
    </row>
    <row r="189" spans="2:9" x14ac:dyDescent="0.35">
      <c r="B189" s="53" t="s">
        <v>195</v>
      </c>
    </row>
    <row r="190" spans="2:9" x14ac:dyDescent="0.35">
      <c r="B190" t="s">
        <v>309</v>
      </c>
      <c r="G190" s="59">
        <v>1571</v>
      </c>
      <c r="H190" s="59">
        <v>1571</v>
      </c>
      <c r="I190" s="59">
        <v>1571</v>
      </c>
    </row>
    <row r="191" spans="2:9" x14ac:dyDescent="0.35">
      <c r="B191" t="s">
        <v>310</v>
      </c>
      <c r="G191" s="59">
        <v>3926</v>
      </c>
      <c r="H191" s="59">
        <v>7852</v>
      </c>
      <c r="I191" s="59">
        <v>7852</v>
      </c>
    </row>
    <row r="192" spans="2:9" x14ac:dyDescent="0.35">
      <c r="B192" t="s">
        <v>311</v>
      </c>
      <c r="G192" s="59">
        <v>2356</v>
      </c>
      <c r="H192" s="59">
        <v>4711</v>
      </c>
      <c r="I192" s="59">
        <v>4711</v>
      </c>
    </row>
    <row r="193" spans="2:9" x14ac:dyDescent="0.35">
      <c r="B193" t="s">
        <v>312</v>
      </c>
      <c r="G193" s="5">
        <f>SUM(G190:G192)</f>
        <v>7853</v>
      </c>
      <c r="H193" s="5">
        <f>SUM(H190:H192)</f>
        <v>14134</v>
      </c>
      <c r="I193" s="5">
        <f>SUM(I190:I192)</f>
        <v>14134</v>
      </c>
    </row>
    <row r="195" spans="2:9" x14ac:dyDescent="0.35">
      <c r="B195" s="54" t="s">
        <v>313</v>
      </c>
      <c r="G195" s="64">
        <f>SUM(G163,G170,G176,G182,G187,G193)</f>
        <v>88241</v>
      </c>
      <c r="H195" s="64">
        <f t="shared" ref="H195:I195" si="31">SUM(H163,H170,H176,H182,H187,H193)</f>
        <v>160401</v>
      </c>
      <c r="I195" s="64">
        <f t="shared" si="31"/>
        <v>158901</v>
      </c>
    </row>
    <row r="197" spans="2:9" ht="15.5" x14ac:dyDescent="0.35">
      <c r="B197" s="101" t="s">
        <v>201</v>
      </c>
      <c r="C197" s="101"/>
      <c r="D197" s="101"/>
      <c r="E197" s="101"/>
      <c r="F197" s="101"/>
      <c r="G197" s="101"/>
      <c r="H197" s="101"/>
      <c r="I197" s="101"/>
    </row>
    <row r="198" spans="2:9" x14ac:dyDescent="0.35">
      <c r="B198" t="s">
        <v>314</v>
      </c>
      <c r="G198" s="5">
        <f>G125</f>
        <v>798458.29249999998</v>
      </c>
      <c r="H198" s="5">
        <f t="shared" ref="H198:I198" si="32">H125</f>
        <v>1596916.585</v>
      </c>
      <c r="I198" s="5">
        <f t="shared" si="32"/>
        <v>1596916.585</v>
      </c>
    </row>
    <row r="199" spans="2:9" x14ac:dyDescent="0.35">
      <c r="B199" t="s">
        <v>315</v>
      </c>
      <c r="D199" s="56">
        <v>80000</v>
      </c>
      <c r="E199" s="56">
        <v>80000</v>
      </c>
      <c r="F199" s="56">
        <v>80000</v>
      </c>
    </row>
    <row r="200" spans="2:9" x14ac:dyDescent="0.35">
      <c r="B200" t="s">
        <v>316</v>
      </c>
      <c r="G200" s="5">
        <f>G195</f>
        <v>88241</v>
      </c>
      <c r="H200" s="5">
        <f t="shared" ref="H200:I200" si="33">H195</f>
        <v>160401</v>
      </c>
      <c r="I200" s="5">
        <f t="shared" si="33"/>
        <v>158901</v>
      </c>
    </row>
    <row r="201" spans="2:9" x14ac:dyDescent="0.35">
      <c r="B201" s="54" t="s">
        <v>214</v>
      </c>
      <c r="D201" s="64">
        <v>-80000</v>
      </c>
      <c r="E201" s="64">
        <v>-80000</v>
      </c>
      <c r="F201" s="64">
        <v>-80000</v>
      </c>
      <c r="G201" s="64">
        <f>G198-G200</f>
        <v>710217.29249999998</v>
      </c>
      <c r="H201" s="64">
        <f t="shared" ref="H201:I201" si="34">H198-H200</f>
        <v>1436515.585</v>
      </c>
      <c r="I201" s="64">
        <f t="shared" si="34"/>
        <v>1438015.585</v>
      </c>
    </row>
    <row r="203" spans="2:9" x14ac:dyDescent="0.35">
      <c r="B203" t="s">
        <v>71</v>
      </c>
      <c r="D203" t="s">
        <v>317</v>
      </c>
      <c r="E203" t="s">
        <v>317</v>
      </c>
      <c r="F203" t="s">
        <v>317</v>
      </c>
      <c r="G203" s="3">
        <v>0.88900000000000001</v>
      </c>
      <c r="H203" s="3">
        <v>0.9</v>
      </c>
      <c r="I203" s="3">
        <v>0.9</v>
      </c>
    </row>
    <row r="204" spans="2:9" x14ac:dyDescent="0.35">
      <c r="B204" s="53" t="s">
        <v>318</v>
      </c>
      <c r="D204" s="57" t="s">
        <v>233</v>
      </c>
      <c r="E204" s="57" t="s">
        <v>233</v>
      </c>
      <c r="F204" s="57" t="s">
        <v>233</v>
      </c>
      <c r="G204" s="58" t="s">
        <v>319</v>
      </c>
      <c r="H204" s="58" t="s">
        <v>319</v>
      </c>
      <c r="I204" s="58" t="s">
        <v>319</v>
      </c>
    </row>
    <row r="206" spans="2:9" x14ac:dyDescent="0.35">
      <c r="B206" s="52" t="s">
        <v>320</v>
      </c>
    </row>
    <row r="207" spans="2:9" x14ac:dyDescent="0.35">
      <c r="B207" t="s">
        <v>321</v>
      </c>
      <c r="G207" s="5">
        <v>798458.29249999998</v>
      </c>
      <c r="H207" s="5">
        <v>9581499.5099999998</v>
      </c>
      <c r="I207" s="5">
        <v>17566082.434999999</v>
      </c>
    </row>
    <row r="208" spans="2:9" x14ac:dyDescent="0.35">
      <c r="B208" t="s">
        <v>322</v>
      </c>
      <c r="D208" s="56">
        <v>80000</v>
      </c>
      <c r="E208" s="56">
        <v>160000</v>
      </c>
      <c r="F208" s="56">
        <v>240000</v>
      </c>
      <c r="G208" s="5">
        <v>328241</v>
      </c>
      <c r="H208" s="5">
        <v>1218487</v>
      </c>
      <c r="I208" s="5">
        <v>2012992</v>
      </c>
    </row>
    <row r="209" spans="2:10" x14ac:dyDescent="0.35">
      <c r="B209" t="s">
        <v>323</v>
      </c>
      <c r="D209" s="5">
        <v>-80000</v>
      </c>
      <c r="E209" s="5">
        <v>-160000</v>
      </c>
      <c r="F209" s="5">
        <v>-240000</v>
      </c>
      <c r="G209" s="5">
        <v>470217.29249999998</v>
      </c>
      <c r="H209" s="5">
        <v>8363012.5099999998</v>
      </c>
      <c r="I209" s="5">
        <v>15553090.435000001</v>
      </c>
    </row>
    <row r="211" spans="2:10" ht="15.5" x14ac:dyDescent="0.35">
      <c r="B211" s="101" t="s">
        <v>212</v>
      </c>
      <c r="C211" s="101"/>
      <c r="D211" s="101"/>
      <c r="E211" s="101"/>
      <c r="F211" s="101"/>
      <c r="G211" s="101"/>
      <c r="H211" s="101"/>
      <c r="I211" s="101"/>
    </row>
    <row r="212" spans="2:10" x14ac:dyDescent="0.35">
      <c r="B212" t="s">
        <v>324</v>
      </c>
      <c r="D212" s="57" t="s">
        <v>325</v>
      </c>
      <c r="E212" s="57" t="s">
        <v>325</v>
      </c>
      <c r="F212" s="57" t="s">
        <v>325</v>
      </c>
      <c r="G212" s="58" t="s">
        <v>326</v>
      </c>
      <c r="H212" s="58" t="s">
        <v>327</v>
      </c>
      <c r="I212" s="58" t="s">
        <v>327</v>
      </c>
    </row>
    <row r="213" spans="2:10" x14ac:dyDescent="0.35">
      <c r="B213" t="s">
        <v>213</v>
      </c>
      <c r="G213">
        <v>7.3760581293302536</v>
      </c>
      <c r="H213">
        <v>7.3760581293302536</v>
      </c>
      <c r="I213">
        <v>7.3760581293302536</v>
      </c>
    </row>
    <row r="214" spans="2:10" x14ac:dyDescent="0.35">
      <c r="B214" t="s">
        <v>328</v>
      </c>
      <c r="D214" s="56">
        <v>80000</v>
      </c>
      <c r="E214" s="56">
        <v>80000</v>
      </c>
      <c r="F214" s="56">
        <v>80000</v>
      </c>
    </row>
    <row r="215" spans="2:10" x14ac:dyDescent="0.35">
      <c r="B215" t="s">
        <v>329</v>
      </c>
      <c r="G215" s="5">
        <v>88241</v>
      </c>
      <c r="H215" s="5">
        <v>160401</v>
      </c>
      <c r="I215" s="5">
        <v>158901</v>
      </c>
    </row>
    <row r="217" spans="2:10" ht="15" thickBot="1" x14ac:dyDescent="0.4"/>
    <row r="218" spans="2:10" ht="31" x14ac:dyDescent="0.7">
      <c r="B218" s="78" t="s">
        <v>232</v>
      </c>
      <c r="C218" s="79"/>
      <c r="D218" s="79"/>
      <c r="E218" s="79"/>
      <c r="F218" s="79"/>
      <c r="G218" s="79"/>
      <c r="H218" s="79"/>
      <c r="I218" s="80"/>
      <c r="J218" s="63"/>
    </row>
    <row r="219" spans="2:10" x14ac:dyDescent="0.35">
      <c r="B219" s="50"/>
      <c r="I219" s="81"/>
    </row>
    <row r="220" spans="2:10" x14ac:dyDescent="0.35">
      <c r="B220" s="82" t="s">
        <v>215</v>
      </c>
      <c r="C220" s="35">
        <f>C70</f>
        <v>351999.41750000004</v>
      </c>
      <c r="D220" s="35">
        <f>D70</f>
        <v>492799.18450000003</v>
      </c>
      <c r="E220" s="35">
        <f t="shared" ref="E220:F220" si="35">E70</f>
        <v>492799.18450000003</v>
      </c>
      <c r="F220" s="35">
        <f t="shared" si="35"/>
        <v>492799.18450000003</v>
      </c>
      <c r="G220" s="35">
        <f>G70+G198</f>
        <v>1291257.477</v>
      </c>
      <c r="H220" s="35">
        <f t="shared" ref="H220:I220" si="36">H70+H198</f>
        <v>2089715.7694999999</v>
      </c>
      <c r="I220" s="83">
        <f t="shared" si="36"/>
        <v>2089715.7694999999</v>
      </c>
    </row>
    <row r="221" spans="2:10" x14ac:dyDescent="0.35">
      <c r="B221" s="82" t="s">
        <v>216</v>
      </c>
      <c r="C221" s="35">
        <v>30000</v>
      </c>
      <c r="D221" s="35">
        <f>D214+D39</f>
        <v>96000</v>
      </c>
      <c r="E221" s="35">
        <f t="shared" ref="E221:F221" si="37">E214+E39</f>
        <v>80000</v>
      </c>
      <c r="F221" s="35">
        <f t="shared" si="37"/>
        <v>80000</v>
      </c>
      <c r="G221" s="35">
        <v>700000</v>
      </c>
      <c r="H221" s="35">
        <v>165000</v>
      </c>
      <c r="I221" s="81"/>
    </row>
    <row r="222" spans="2:10" x14ac:dyDescent="0.35">
      <c r="B222" s="82" t="s">
        <v>217</v>
      </c>
      <c r="C222" s="35">
        <v>21500</v>
      </c>
      <c r="D222" s="35">
        <f>D65</f>
        <v>29000</v>
      </c>
      <c r="E222" s="35">
        <f t="shared" ref="E222:F222" si="38">E65</f>
        <v>26500</v>
      </c>
      <c r="F222" s="35">
        <f t="shared" si="38"/>
        <v>25500</v>
      </c>
      <c r="G222" s="35">
        <f>G65+G215</f>
        <v>113241</v>
      </c>
      <c r="H222" s="35">
        <f t="shared" ref="H222:I222" si="39">H65+H215</f>
        <v>185401</v>
      </c>
      <c r="I222" s="83">
        <f t="shared" si="39"/>
        <v>183901</v>
      </c>
    </row>
    <row r="223" spans="2:10" x14ac:dyDescent="0.35">
      <c r="B223" s="50"/>
      <c r="I223" s="81"/>
    </row>
    <row r="224" spans="2:10" ht="15" thickBot="1" x14ac:dyDescent="0.4">
      <c r="B224" s="84" t="s">
        <v>218</v>
      </c>
      <c r="C224" s="67">
        <f>C220-C221-C222</f>
        <v>300499.41750000004</v>
      </c>
      <c r="D224" s="67">
        <f t="shared" ref="D224:I224" si="40">D220-D221-D222</f>
        <v>367799.18450000003</v>
      </c>
      <c r="E224" s="67">
        <f t="shared" si="40"/>
        <v>386299.18450000003</v>
      </c>
      <c r="F224" s="67">
        <f t="shared" si="40"/>
        <v>387299.18450000003</v>
      </c>
      <c r="G224" s="67">
        <f t="shared" si="40"/>
        <v>478016.47699999996</v>
      </c>
      <c r="H224" s="67">
        <f t="shared" si="40"/>
        <v>1739314.7694999999</v>
      </c>
      <c r="I224" s="85">
        <f t="shared" si="40"/>
        <v>1905814.7694999999</v>
      </c>
    </row>
    <row r="225" spans="2:9" ht="15.5" thickTop="1" thickBot="1" x14ac:dyDescent="0.4">
      <c r="B225" s="51" t="s">
        <v>71</v>
      </c>
      <c r="C225" s="86">
        <f>(C224/C220)</f>
        <v>0.85369293970493576</v>
      </c>
      <c r="D225" s="86">
        <f t="shared" ref="D225:I225" si="41">(D224/D220)</f>
        <v>0.74634698284489553</v>
      </c>
      <c r="E225" s="86">
        <f t="shared" si="41"/>
        <v>0.78388762938385104</v>
      </c>
      <c r="F225" s="86">
        <f t="shared" si="41"/>
        <v>0.78591685352109186</v>
      </c>
      <c r="G225" s="86">
        <f t="shared" si="41"/>
        <v>0.37019454718712153</v>
      </c>
      <c r="H225" s="86">
        <f t="shared" si="41"/>
        <v>0.83232121558625205</v>
      </c>
      <c r="I225" s="87">
        <f t="shared" si="41"/>
        <v>0.91199712291782076</v>
      </c>
    </row>
    <row r="227" spans="2:9" x14ac:dyDescent="0.35">
      <c r="B227" s="17"/>
      <c r="C227" s="24"/>
      <c r="D227" s="24"/>
      <c r="E227" s="24"/>
      <c r="F227" s="24"/>
      <c r="G227" s="24"/>
      <c r="H227" s="24"/>
      <c r="I227" s="24"/>
    </row>
    <row r="228" spans="2:9" x14ac:dyDescent="0.35">
      <c r="B228" s="17"/>
      <c r="C228" s="65"/>
      <c r="D228" s="65"/>
      <c r="E228" s="65"/>
      <c r="F228" s="65"/>
      <c r="G228" s="65"/>
      <c r="H228" s="65"/>
      <c r="I228" s="65"/>
    </row>
    <row r="229" spans="2:9" x14ac:dyDescent="0.35">
      <c r="B229" s="17"/>
      <c r="C229" s="24"/>
      <c r="D229" s="24"/>
      <c r="E229" s="24"/>
      <c r="F229" s="24"/>
      <c r="G229" s="24"/>
      <c r="H229" s="24"/>
      <c r="I229" s="24"/>
    </row>
  </sheetData>
  <mergeCells count="10">
    <mergeCell ref="B2:J2"/>
    <mergeCell ref="B85:I85"/>
    <mergeCell ref="B68:I68"/>
    <mergeCell ref="B3:J3"/>
    <mergeCell ref="B4:J4"/>
    <mergeCell ref="B129:H129"/>
    <mergeCell ref="B157:H157"/>
    <mergeCell ref="B88:J88"/>
    <mergeCell ref="B197:I197"/>
    <mergeCell ref="B211:I2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3"/>
  <sheetViews>
    <sheetView workbookViewId="0">
      <selection activeCell="D24" sqref="D24"/>
    </sheetView>
  </sheetViews>
  <sheetFormatPr defaultRowHeight="14.5" x14ac:dyDescent="0.35"/>
  <cols>
    <col min="2" max="2" width="35" customWidth="1"/>
    <col min="3" max="3" width="18" customWidth="1"/>
    <col min="4" max="4" width="45" customWidth="1"/>
  </cols>
  <sheetData>
    <row r="2" spans="2:5" ht="18.5" x14ac:dyDescent="0.45">
      <c r="B2" s="108" t="s">
        <v>0</v>
      </c>
      <c r="C2" s="89"/>
      <c r="D2" s="89"/>
      <c r="E2" s="89"/>
    </row>
    <row r="5" spans="2:5" x14ac:dyDescent="0.35">
      <c r="B5" s="1" t="s">
        <v>1</v>
      </c>
    </row>
    <row r="6" spans="2:5" x14ac:dyDescent="0.35">
      <c r="B6" s="2" t="s">
        <v>2</v>
      </c>
      <c r="C6" s="3">
        <v>2</v>
      </c>
      <c r="D6" s="4" t="s">
        <v>3</v>
      </c>
    </row>
    <row r="7" spans="2:5" x14ac:dyDescent="0.35">
      <c r="B7" s="2" t="s">
        <v>4</v>
      </c>
      <c r="C7" t="s">
        <v>5</v>
      </c>
    </row>
    <row r="8" spans="2:5" x14ac:dyDescent="0.35">
      <c r="B8" s="2" t="s">
        <v>6</v>
      </c>
      <c r="C8" t="s">
        <v>7</v>
      </c>
      <c r="D8" s="4" t="s">
        <v>8</v>
      </c>
    </row>
    <row r="10" spans="2:5" x14ac:dyDescent="0.35">
      <c r="B10" s="1" t="s">
        <v>9</v>
      </c>
    </row>
    <row r="11" spans="2:5" x14ac:dyDescent="0.35">
      <c r="B11" s="2" t="s">
        <v>10</v>
      </c>
      <c r="C11" s="5">
        <v>15500000</v>
      </c>
    </row>
    <row r="12" spans="2:5" x14ac:dyDescent="0.35">
      <c r="B12" s="2" t="s">
        <v>11</v>
      </c>
      <c r="C12" s="5">
        <v>2330000</v>
      </c>
    </row>
    <row r="13" spans="2:5" x14ac:dyDescent="0.35">
      <c r="B13" s="2" t="s">
        <v>12</v>
      </c>
      <c r="C13" s="3">
        <v>0.15</v>
      </c>
    </row>
    <row r="14" spans="2:5" x14ac:dyDescent="0.35">
      <c r="B14" s="2" t="s">
        <v>13</v>
      </c>
      <c r="C14" s="3">
        <v>0.02</v>
      </c>
      <c r="D14" s="4" t="s">
        <v>14</v>
      </c>
    </row>
    <row r="15" spans="2:5" x14ac:dyDescent="0.35">
      <c r="B15" s="2" t="s">
        <v>15</v>
      </c>
      <c r="C15" s="5">
        <v>-1.5</v>
      </c>
      <c r="D15" s="4" t="s">
        <v>16</v>
      </c>
    </row>
    <row r="17" spans="2:4" x14ac:dyDescent="0.35">
      <c r="B17" s="1" t="s">
        <v>17</v>
      </c>
    </row>
    <row r="18" spans="2:4" x14ac:dyDescent="0.35">
      <c r="B18" s="2" t="s">
        <v>18</v>
      </c>
      <c r="C18" s="3">
        <v>0.3</v>
      </c>
      <c r="D18" s="4" t="s">
        <v>19</v>
      </c>
    </row>
    <row r="19" spans="2:4" x14ac:dyDescent="0.35">
      <c r="B19" s="2" t="s">
        <v>20</v>
      </c>
      <c r="C19" s="3">
        <v>0.7</v>
      </c>
      <c r="D19" s="4" t="s">
        <v>219</v>
      </c>
    </row>
    <row r="21" spans="2:4" x14ac:dyDescent="0.35">
      <c r="B21" s="1" t="s">
        <v>21</v>
      </c>
    </row>
    <row r="22" spans="2:4" x14ac:dyDescent="0.35">
      <c r="B22" s="2" t="s">
        <v>22</v>
      </c>
      <c r="C22" s="5">
        <v>3500</v>
      </c>
    </row>
    <row r="23" spans="2:4" x14ac:dyDescent="0.35">
      <c r="B23" s="2" t="s">
        <v>23</v>
      </c>
      <c r="C23" s="5">
        <v>3200</v>
      </c>
    </row>
    <row r="24" spans="2:4" x14ac:dyDescent="0.35">
      <c r="B24" s="2" t="s">
        <v>24</v>
      </c>
      <c r="C24" s="5">
        <v>2500</v>
      </c>
    </row>
    <row r="25" spans="2:4" x14ac:dyDescent="0.35">
      <c r="B25" s="2" t="s">
        <v>25</v>
      </c>
      <c r="C25" s="5">
        <v>2400</v>
      </c>
    </row>
    <row r="26" spans="2:4" x14ac:dyDescent="0.35">
      <c r="B26" s="2" t="s">
        <v>26</v>
      </c>
      <c r="C26" s="3">
        <v>0.12</v>
      </c>
    </row>
    <row r="27" spans="2:4" x14ac:dyDescent="0.35">
      <c r="B27" s="2" t="s">
        <v>27</v>
      </c>
      <c r="C27" s="3">
        <v>9.5000000000000001E-2</v>
      </c>
    </row>
    <row r="29" spans="2:4" x14ac:dyDescent="0.35">
      <c r="B29" s="1" t="s">
        <v>28</v>
      </c>
    </row>
    <row r="30" spans="2:4" x14ac:dyDescent="0.35">
      <c r="B30" s="2" t="s">
        <v>29</v>
      </c>
      <c r="C30" s="5">
        <v>240000</v>
      </c>
      <c r="D30" s="4"/>
    </row>
    <row r="31" spans="2:4" x14ac:dyDescent="0.35">
      <c r="B31" s="2" t="s">
        <v>30</v>
      </c>
      <c r="C31" t="s">
        <v>31</v>
      </c>
    </row>
    <row r="32" spans="2:4" x14ac:dyDescent="0.35">
      <c r="B32" s="2" t="s">
        <v>32</v>
      </c>
      <c r="C32" s="5">
        <v>250000</v>
      </c>
    </row>
    <row r="33" spans="2:3" x14ac:dyDescent="0.35">
      <c r="B33" s="2"/>
      <c r="C33" s="3"/>
    </row>
  </sheetData>
  <mergeCells count="1"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6"/>
  <sheetViews>
    <sheetView workbookViewId="0">
      <selection activeCell="B2" sqref="B2:H2"/>
    </sheetView>
  </sheetViews>
  <sheetFormatPr defaultRowHeight="14.5" x14ac:dyDescent="0.35"/>
  <cols>
    <col min="2" max="2" width="25" customWidth="1"/>
    <col min="3" max="8" width="14" customWidth="1"/>
  </cols>
  <sheetData>
    <row r="2" spans="2:8" ht="17" x14ac:dyDescent="0.4">
      <c r="B2" s="109" t="s">
        <v>58</v>
      </c>
      <c r="C2" s="110"/>
      <c r="D2" s="110"/>
      <c r="E2" s="110"/>
      <c r="F2" s="110"/>
      <c r="G2" s="110"/>
      <c r="H2" s="110"/>
    </row>
    <row r="5" spans="2:8" x14ac:dyDescent="0.35">
      <c r="B5" s="33" t="s">
        <v>59</v>
      </c>
      <c r="C5" s="34" t="s">
        <v>60</v>
      </c>
      <c r="D5" s="34" t="s">
        <v>61</v>
      </c>
      <c r="E5" s="34" t="s">
        <v>62</v>
      </c>
      <c r="F5" s="34" t="s">
        <v>63</v>
      </c>
      <c r="G5" s="34" t="s">
        <v>64</v>
      </c>
      <c r="H5" s="34" t="s">
        <v>65</v>
      </c>
    </row>
    <row r="6" spans="2:8" x14ac:dyDescent="0.35">
      <c r="B6" s="8" t="s">
        <v>66</v>
      </c>
      <c r="C6" s="5">
        <v>27214593</v>
      </c>
      <c r="D6" s="5">
        <v>31379507</v>
      </c>
      <c r="E6" s="5">
        <v>37154298</v>
      </c>
      <c r="F6" s="5">
        <v>45095325</v>
      </c>
      <c r="G6" s="5">
        <v>48036704</v>
      </c>
      <c r="H6" s="5">
        <v>50450763</v>
      </c>
    </row>
    <row r="7" spans="2:8" x14ac:dyDescent="0.35">
      <c r="B7" t="s">
        <v>67</v>
      </c>
      <c r="C7" s="3">
        <v>-8.8999999999999996E-2</v>
      </c>
      <c r="D7" s="3">
        <v>0.153</v>
      </c>
      <c r="E7" s="3">
        <v>0.184</v>
      </c>
      <c r="F7" s="3">
        <v>0.214</v>
      </c>
      <c r="G7" s="3">
        <v>6.5000000000000002E-2</v>
      </c>
      <c r="H7" s="3">
        <v>7.9000000000000001E-2</v>
      </c>
    </row>
    <row r="9" spans="2:8" x14ac:dyDescent="0.35">
      <c r="B9" s="8" t="s">
        <v>68</v>
      </c>
      <c r="C9" s="5">
        <v>4832373</v>
      </c>
      <c r="D9" s="5">
        <v>5971689</v>
      </c>
      <c r="E9" s="5">
        <v>6308003</v>
      </c>
      <c r="F9" s="5">
        <v>9370080</v>
      </c>
      <c r="G9" s="5">
        <v>9567729</v>
      </c>
      <c r="H9" s="5">
        <v>8877939</v>
      </c>
    </row>
    <row r="10" spans="2:8" x14ac:dyDescent="0.35">
      <c r="B10" t="s">
        <v>69</v>
      </c>
      <c r="C10" s="3">
        <v>0.17799999999999999</v>
      </c>
      <c r="D10" s="3">
        <v>0.19</v>
      </c>
      <c r="E10" s="3">
        <v>0.17</v>
      </c>
      <c r="F10" s="3">
        <v>0.20799999999999999</v>
      </c>
      <c r="G10" s="3">
        <v>0.19900000000000001</v>
      </c>
      <c r="H10" s="3">
        <v>0.17599999999999999</v>
      </c>
    </row>
    <row r="12" spans="2:8" x14ac:dyDescent="0.35">
      <c r="B12" s="8" t="s">
        <v>70</v>
      </c>
      <c r="C12" s="5">
        <v>2197748</v>
      </c>
      <c r="D12" s="5">
        <v>2995712</v>
      </c>
      <c r="E12" s="5">
        <v>2720013</v>
      </c>
      <c r="F12" s="5">
        <v>5354697</v>
      </c>
      <c r="G12" s="5">
        <v>4785277</v>
      </c>
      <c r="H12" s="5">
        <v>4302507</v>
      </c>
    </row>
    <row r="13" spans="2:8" x14ac:dyDescent="0.35">
      <c r="B13" t="s">
        <v>71</v>
      </c>
      <c r="C13" s="3">
        <v>8.1000000000000003E-2</v>
      </c>
      <c r="D13" s="3">
        <v>9.5000000000000001E-2</v>
      </c>
      <c r="E13" s="3">
        <v>7.2999999999999995E-2</v>
      </c>
      <c r="F13" s="3">
        <v>0.11899999999999999</v>
      </c>
      <c r="G13" s="3">
        <v>0.1</v>
      </c>
      <c r="H13" s="3">
        <v>8.5000000000000006E-2</v>
      </c>
    </row>
    <row r="15" spans="2:8" x14ac:dyDescent="0.35">
      <c r="B15" s="8" t="s">
        <v>72</v>
      </c>
      <c r="C15" s="5">
        <v>2245261</v>
      </c>
      <c r="D15" s="5">
        <v>2850110</v>
      </c>
      <c r="E15" s="5">
        <v>2451318</v>
      </c>
      <c r="F15" s="5">
        <v>4944933</v>
      </c>
      <c r="G15" s="5">
        <v>4765086</v>
      </c>
      <c r="H15" s="5">
        <v>3695588</v>
      </c>
    </row>
    <row r="16" spans="2:8" x14ac:dyDescent="0.35">
      <c r="B16" t="s">
        <v>73</v>
      </c>
      <c r="C16" s="3">
        <v>8.3000000000000004E-2</v>
      </c>
      <c r="D16" s="3">
        <v>9.0999999999999998E-2</v>
      </c>
      <c r="E16" s="3">
        <v>6.6000000000000003E-2</v>
      </c>
      <c r="F16" s="3">
        <v>0.11</v>
      </c>
      <c r="G16" s="3">
        <v>9.9000000000000005E-2</v>
      </c>
      <c r="H16" s="3">
        <v>7.2999999999999995E-2</v>
      </c>
    </row>
  </sheetData>
  <mergeCells count="1"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9"/>
  <sheetViews>
    <sheetView topLeftCell="A4" workbookViewId="0">
      <selection activeCell="I26" sqref="I26"/>
    </sheetView>
  </sheetViews>
  <sheetFormatPr defaultRowHeight="14.5" x14ac:dyDescent="0.35"/>
  <cols>
    <col min="2" max="2" width="35" customWidth="1"/>
    <col min="3" max="7" width="16" customWidth="1"/>
  </cols>
  <sheetData>
    <row r="2" spans="2:8" ht="17" x14ac:dyDescent="0.4">
      <c r="B2" s="109" t="s">
        <v>74</v>
      </c>
      <c r="C2" s="110"/>
      <c r="D2" s="110"/>
      <c r="E2" s="110"/>
      <c r="F2" s="110"/>
      <c r="G2" s="110"/>
      <c r="H2" s="110"/>
    </row>
    <row r="5" spans="2:8" x14ac:dyDescent="0.35">
      <c r="B5" s="33" t="s">
        <v>75</v>
      </c>
      <c r="C5" s="34" t="s">
        <v>76</v>
      </c>
      <c r="D5" s="34" t="s">
        <v>77</v>
      </c>
      <c r="E5" s="34" t="s">
        <v>78</v>
      </c>
      <c r="F5" s="34" t="s">
        <v>79</v>
      </c>
      <c r="G5" s="34" t="s">
        <v>80</v>
      </c>
    </row>
    <row r="6" spans="2:8" x14ac:dyDescent="0.35">
      <c r="B6" s="8" t="s">
        <v>66</v>
      </c>
      <c r="C6" s="5">
        <v>50198355.68</v>
      </c>
      <c r="D6" s="5">
        <f>C6*(1+C7)</f>
        <v>52457281.685599998</v>
      </c>
      <c r="E6" s="5">
        <v>54135211.922559679</v>
      </c>
      <c r="F6" s="5">
        <v>55759268.280236468</v>
      </c>
      <c r="G6" s="5">
        <v>57432046.32864356</v>
      </c>
    </row>
    <row r="7" spans="2:8" x14ac:dyDescent="0.35">
      <c r="B7" t="s">
        <v>67</v>
      </c>
      <c r="C7" s="3">
        <v>4.4999999999999998E-2</v>
      </c>
      <c r="D7" s="3">
        <v>4.5999999999999999E-2</v>
      </c>
      <c r="E7" s="3">
        <v>3.1E-2</v>
      </c>
      <c r="F7" s="3">
        <v>0.03</v>
      </c>
      <c r="G7" s="3">
        <v>0.03</v>
      </c>
    </row>
    <row r="9" spans="2:8" x14ac:dyDescent="0.35">
      <c r="B9" t="s">
        <v>81</v>
      </c>
      <c r="C9" s="5">
        <v>16063473.817600001</v>
      </c>
      <c r="D9" s="5">
        <v>16802393.613209601</v>
      </c>
      <c r="E9" s="5">
        <v>17323267.815219101</v>
      </c>
      <c r="F9" s="5">
        <v>17842965.84967567</v>
      </c>
      <c r="G9" s="5">
        <v>18378254.825165939</v>
      </c>
    </row>
    <row r="10" spans="2:8" x14ac:dyDescent="0.35">
      <c r="B10" s="9" t="s">
        <v>82</v>
      </c>
      <c r="C10" s="5">
        <v>14457126.435839999</v>
      </c>
      <c r="D10" s="5">
        <v>15122154.25188864</v>
      </c>
      <c r="E10" s="5">
        <v>15590941.03369719</v>
      </c>
      <c r="F10" s="5">
        <v>16058669.2647081</v>
      </c>
      <c r="G10" s="5">
        <v>16540429.342649341</v>
      </c>
    </row>
    <row r="11" spans="2:8" x14ac:dyDescent="0.35">
      <c r="B11" s="9" t="s">
        <v>83</v>
      </c>
      <c r="C11" s="5">
        <v>4337137.9307519998</v>
      </c>
      <c r="D11" s="5">
        <v>4536646.2755665928</v>
      </c>
      <c r="E11" s="5">
        <v>4677282.3101091562</v>
      </c>
      <c r="F11" s="5">
        <v>4817600.7794124307</v>
      </c>
      <c r="G11" s="5">
        <v>4962128.8027948029</v>
      </c>
    </row>
    <row r="12" spans="2:8" x14ac:dyDescent="0.35">
      <c r="B12" s="9" t="s">
        <v>84</v>
      </c>
      <c r="C12" s="5">
        <v>10119988.505088</v>
      </c>
      <c r="D12" s="5">
        <v>10585507.976322049</v>
      </c>
      <c r="E12" s="5">
        <v>10913658.723588031</v>
      </c>
      <c r="F12" s="5">
        <v>11241068.48529567</v>
      </c>
      <c r="G12" s="5">
        <v>11578300.53985454</v>
      </c>
    </row>
    <row r="13" spans="2:8" x14ac:dyDescent="0.35">
      <c r="B13" t="s">
        <v>85</v>
      </c>
      <c r="C13" s="5">
        <v>34134881.862400003</v>
      </c>
      <c r="D13" s="5">
        <v>35705086.428070404</v>
      </c>
      <c r="E13" s="5">
        <v>36811944.107340582</v>
      </c>
      <c r="F13" s="5">
        <v>37916302.430560797</v>
      </c>
      <c r="G13" s="5">
        <v>39053791.503477633</v>
      </c>
    </row>
    <row r="15" spans="2:8" x14ac:dyDescent="0.35">
      <c r="B15" s="8" t="s">
        <v>70</v>
      </c>
      <c r="C15" s="5">
        <v>4768843.7895999998</v>
      </c>
      <c r="D15" s="5">
        <v>4988210.6039216006</v>
      </c>
      <c r="E15" s="5">
        <v>5142845.1326431697</v>
      </c>
      <c r="F15" s="5">
        <v>5297130.4866224648</v>
      </c>
      <c r="G15" s="5">
        <v>5456044.4012211384</v>
      </c>
    </row>
    <row r="16" spans="2:8" x14ac:dyDescent="0.35">
      <c r="B16" s="8" t="s">
        <v>71</v>
      </c>
      <c r="C16" s="3">
        <v>9.5000000000000001E-2</v>
      </c>
      <c r="D16" s="3">
        <v>9.5000000000000001E-2</v>
      </c>
      <c r="E16" s="3">
        <v>9.5000000000000001E-2</v>
      </c>
      <c r="F16" s="3">
        <v>9.5000000000000001E-2</v>
      </c>
      <c r="G16" s="3">
        <v>9.5000000000000001E-2</v>
      </c>
    </row>
    <row r="18" spans="2:7" x14ac:dyDescent="0.35">
      <c r="B18" s="8" t="s">
        <v>72</v>
      </c>
      <c r="C18" s="5">
        <v>3915471.7430400001</v>
      </c>
      <c r="D18" s="5">
        <v>4095583.4432198401</v>
      </c>
      <c r="E18" s="5">
        <v>4222546.5299596554</v>
      </c>
      <c r="F18" s="5">
        <v>4349222.9258584455</v>
      </c>
      <c r="G18" s="5">
        <v>4479699.613634198</v>
      </c>
    </row>
    <row r="19" spans="2:7" x14ac:dyDescent="0.35">
      <c r="B19" t="s">
        <v>73</v>
      </c>
      <c r="C19" s="3">
        <v>7.8E-2</v>
      </c>
      <c r="D19" s="3">
        <v>7.8E-2</v>
      </c>
      <c r="E19" s="3">
        <v>7.8E-2</v>
      </c>
      <c r="F19" s="3">
        <v>7.8E-2</v>
      </c>
      <c r="G19" s="3">
        <v>7.8E-2</v>
      </c>
    </row>
  </sheetData>
  <mergeCells count="1">
    <mergeCell ref="B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24"/>
  <sheetViews>
    <sheetView workbookViewId="0">
      <selection activeCell="J11" sqref="J11"/>
    </sheetView>
  </sheetViews>
  <sheetFormatPr defaultRowHeight="14.5" x14ac:dyDescent="0.35"/>
  <cols>
    <col min="2" max="2" width="40" customWidth="1"/>
    <col min="3" max="6" width="14" customWidth="1"/>
  </cols>
  <sheetData>
    <row r="2" spans="2:6" ht="17" x14ac:dyDescent="0.4">
      <c r="B2" s="109" t="s">
        <v>86</v>
      </c>
      <c r="C2" s="110"/>
      <c r="D2" s="110"/>
      <c r="E2" s="110"/>
      <c r="F2" s="110"/>
    </row>
    <row r="5" spans="2:6" x14ac:dyDescent="0.35">
      <c r="B5" s="31" t="s">
        <v>87</v>
      </c>
      <c r="C5" s="31" t="s">
        <v>88</v>
      </c>
      <c r="D5" s="31" t="s">
        <v>89</v>
      </c>
      <c r="E5" s="31" t="s">
        <v>90</v>
      </c>
      <c r="F5" s="31" t="s">
        <v>91</v>
      </c>
    </row>
    <row r="6" spans="2:6" x14ac:dyDescent="0.35">
      <c r="B6" t="s">
        <v>92</v>
      </c>
      <c r="C6" s="5">
        <v>2000</v>
      </c>
      <c r="D6" s="5">
        <v>2000</v>
      </c>
      <c r="E6" s="5">
        <v>2000</v>
      </c>
    </row>
    <row r="7" spans="2:6" x14ac:dyDescent="0.35">
      <c r="B7" t="s">
        <v>93</v>
      </c>
      <c r="C7" s="5">
        <v>150</v>
      </c>
      <c r="D7" s="5">
        <v>150</v>
      </c>
      <c r="E7" s="5">
        <v>50</v>
      </c>
      <c r="F7" s="5">
        <v>-100</v>
      </c>
    </row>
    <row r="8" spans="2:6" x14ac:dyDescent="0.35">
      <c r="B8" s="8" t="s">
        <v>94</v>
      </c>
      <c r="C8" s="5">
        <v>2150</v>
      </c>
      <c r="D8" s="5">
        <v>2150</v>
      </c>
      <c r="E8" s="5">
        <v>2050</v>
      </c>
      <c r="F8" s="5">
        <v>-100</v>
      </c>
    </row>
    <row r="10" spans="2:6" x14ac:dyDescent="0.35">
      <c r="B10" t="s">
        <v>95</v>
      </c>
      <c r="D10" s="5">
        <v>4300</v>
      </c>
      <c r="F10" s="5">
        <v>-4300</v>
      </c>
    </row>
    <row r="12" spans="2:6" x14ac:dyDescent="0.35">
      <c r="B12" s="8" t="s">
        <v>96</v>
      </c>
      <c r="C12" s="5">
        <v>2150</v>
      </c>
      <c r="D12" s="5">
        <v>6450</v>
      </c>
      <c r="E12" s="5">
        <v>2050</v>
      </c>
      <c r="F12" s="5">
        <v>-4400</v>
      </c>
    </row>
    <row r="14" spans="2:6" x14ac:dyDescent="0.35">
      <c r="B14" s="8" t="s">
        <v>97</v>
      </c>
      <c r="C14" s="5">
        <v>2637</v>
      </c>
      <c r="D14" s="5">
        <v>7910</v>
      </c>
      <c r="E14" s="5">
        <v>2514</v>
      </c>
      <c r="F14" s="5">
        <v>-5396</v>
      </c>
    </row>
    <row r="15" spans="2:6" x14ac:dyDescent="0.35">
      <c r="B15" t="s">
        <v>98</v>
      </c>
      <c r="D15" s="10">
        <v>2</v>
      </c>
    </row>
    <row r="17" spans="2:6" x14ac:dyDescent="0.35">
      <c r="B17" t="s">
        <v>69</v>
      </c>
      <c r="C17" s="3">
        <v>0.185</v>
      </c>
      <c r="D17" s="3">
        <v>0.185</v>
      </c>
      <c r="E17" s="3">
        <v>0.185</v>
      </c>
    </row>
    <row r="19" spans="2:6" x14ac:dyDescent="0.35">
      <c r="B19" t="s">
        <v>99</v>
      </c>
    </row>
    <row r="20" spans="2:6" x14ac:dyDescent="0.35">
      <c r="B20" t="s">
        <v>100</v>
      </c>
      <c r="C20" s="10">
        <v>0</v>
      </c>
      <c r="D20" s="10">
        <v>-0.85</v>
      </c>
      <c r="E20" s="10">
        <v>0.15</v>
      </c>
    </row>
    <row r="22" spans="2:6" x14ac:dyDescent="0.35">
      <c r="B22" s="111" t="s">
        <v>101</v>
      </c>
      <c r="C22" s="89"/>
      <c r="D22" s="89"/>
      <c r="E22" s="89"/>
      <c r="F22" s="89"/>
    </row>
    <row r="23" spans="2:6" x14ac:dyDescent="0.35">
      <c r="B23" s="111" t="s">
        <v>102</v>
      </c>
      <c r="C23" s="89"/>
      <c r="D23" s="89"/>
      <c r="E23" s="89"/>
      <c r="F23" s="89"/>
    </row>
    <row r="24" spans="2:6" x14ac:dyDescent="0.35">
      <c r="B24" s="111" t="s">
        <v>103</v>
      </c>
      <c r="C24" s="89"/>
      <c r="D24" s="89"/>
      <c r="E24" s="89"/>
      <c r="F24" s="89"/>
    </row>
  </sheetData>
  <mergeCells count="4">
    <mergeCell ref="B2:F2"/>
    <mergeCell ref="B23:F23"/>
    <mergeCell ref="B22:F22"/>
    <mergeCell ref="B24:F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39"/>
  <sheetViews>
    <sheetView topLeftCell="A24" workbookViewId="0"/>
  </sheetViews>
  <sheetFormatPr defaultRowHeight="14.5" x14ac:dyDescent="0.35"/>
  <cols>
    <col min="2" max="2" width="35" customWidth="1"/>
    <col min="3" max="8" width="14" customWidth="1"/>
  </cols>
  <sheetData>
    <row r="2" spans="2:9" ht="17" x14ac:dyDescent="0.4">
      <c r="B2" s="113" t="s">
        <v>104</v>
      </c>
      <c r="C2" s="89"/>
      <c r="D2" s="89"/>
      <c r="E2" s="89"/>
      <c r="F2" s="89"/>
      <c r="G2" s="89"/>
      <c r="H2" s="89"/>
      <c r="I2" s="89"/>
    </row>
    <row r="3" spans="2:9" x14ac:dyDescent="0.35">
      <c r="B3" s="112" t="s">
        <v>105</v>
      </c>
      <c r="C3" s="89"/>
      <c r="D3" s="89"/>
      <c r="E3" s="89"/>
      <c r="F3" s="89"/>
      <c r="G3" s="89"/>
      <c r="H3" s="89"/>
      <c r="I3" s="89"/>
    </row>
    <row r="6" spans="2:9" x14ac:dyDescent="0.35">
      <c r="B6" s="6" t="s">
        <v>106</v>
      </c>
      <c r="C6" s="7" t="s">
        <v>107</v>
      </c>
      <c r="D6" s="7" t="s">
        <v>76</v>
      </c>
      <c r="E6" s="7" t="s">
        <v>77</v>
      </c>
      <c r="F6" s="7" t="s">
        <v>78</v>
      </c>
      <c r="G6" s="7" t="s">
        <v>79</v>
      </c>
      <c r="H6" s="7" t="s">
        <v>80</v>
      </c>
    </row>
    <row r="7" spans="2:9" x14ac:dyDescent="0.35">
      <c r="B7" s="1" t="s">
        <v>108</v>
      </c>
    </row>
    <row r="8" spans="2:9" x14ac:dyDescent="0.35">
      <c r="B8" s="8" t="s">
        <v>109</v>
      </c>
      <c r="C8" s="5">
        <v>2330000</v>
      </c>
      <c r="D8" s="5">
        <v>1865000</v>
      </c>
      <c r="E8" s="5">
        <v>1980000</v>
      </c>
      <c r="F8" s="5">
        <v>2145000</v>
      </c>
      <c r="G8" s="5">
        <v>2265000</v>
      </c>
      <c r="H8" s="5">
        <v>2335000</v>
      </c>
    </row>
    <row r="9" spans="2:9" x14ac:dyDescent="0.35">
      <c r="B9" s="11" t="s">
        <v>110</v>
      </c>
      <c r="C9" s="5">
        <v>699000</v>
      </c>
      <c r="D9" s="5">
        <v>70000</v>
      </c>
      <c r="E9" s="5">
        <v>105000</v>
      </c>
      <c r="F9" s="5">
        <v>140000</v>
      </c>
      <c r="G9" s="5">
        <v>145000</v>
      </c>
      <c r="H9" s="5">
        <v>150000</v>
      </c>
    </row>
    <row r="10" spans="2:9" x14ac:dyDescent="0.35">
      <c r="B10" s="11" t="s">
        <v>111</v>
      </c>
      <c r="C10" s="5">
        <v>1631000</v>
      </c>
      <c r="D10" s="5">
        <v>1795000</v>
      </c>
      <c r="E10" s="5">
        <v>1875000</v>
      </c>
      <c r="F10" s="5">
        <v>2005000</v>
      </c>
      <c r="G10" s="5">
        <v>2120000</v>
      </c>
      <c r="H10" s="5">
        <v>2185000</v>
      </c>
    </row>
    <row r="12" spans="2:9" x14ac:dyDescent="0.35">
      <c r="B12" t="s">
        <v>112</v>
      </c>
    </row>
    <row r="13" spans="2:9" x14ac:dyDescent="0.35">
      <c r="B13" s="8" t="s">
        <v>113</v>
      </c>
      <c r="C13">
        <v>0</v>
      </c>
      <c r="D13" s="3">
        <v>-0.2</v>
      </c>
      <c r="E13" s="3">
        <v>-0.15</v>
      </c>
      <c r="F13" s="3">
        <v>-0.08</v>
      </c>
      <c r="G13" s="3">
        <v>-0.03</v>
      </c>
      <c r="H13">
        <v>0</v>
      </c>
    </row>
    <row r="14" spans="2:9" x14ac:dyDescent="0.35">
      <c r="B14" t="s">
        <v>114</v>
      </c>
      <c r="C14">
        <v>0</v>
      </c>
      <c r="D14" s="3">
        <v>-0.9</v>
      </c>
      <c r="E14" s="3">
        <v>-0.85</v>
      </c>
      <c r="F14" s="3">
        <v>-0.8</v>
      </c>
      <c r="G14" s="3">
        <v>-0.79</v>
      </c>
      <c r="H14" s="3">
        <v>-0.79</v>
      </c>
    </row>
    <row r="15" spans="2:9" x14ac:dyDescent="0.35">
      <c r="B15" t="s">
        <v>115</v>
      </c>
      <c r="C15">
        <v>0</v>
      </c>
      <c r="D15" s="3">
        <v>0.1</v>
      </c>
      <c r="E15" s="3">
        <v>0.15</v>
      </c>
      <c r="F15" s="3">
        <v>0.23</v>
      </c>
      <c r="G15" s="3">
        <v>0.3</v>
      </c>
      <c r="H15" s="3">
        <v>0.34</v>
      </c>
    </row>
    <row r="17" spans="2:8" x14ac:dyDescent="0.35">
      <c r="B17" s="1" t="s">
        <v>116</v>
      </c>
    </row>
    <row r="18" spans="2:8" x14ac:dyDescent="0.35">
      <c r="B18" t="s">
        <v>117</v>
      </c>
      <c r="C18" s="5">
        <v>2446500000</v>
      </c>
      <c r="D18" s="5">
        <v>245000000</v>
      </c>
      <c r="E18" s="5">
        <v>367500000</v>
      </c>
      <c r="F18" s="5">
        <v>490000000</v>
      </c>
      <c r="G18" s="5">
        <v>507500000</v>
      </c>
      <c r="H18" s="5">
        <v>525000000</v>
      </c>
    </row>
    <row r="19" spans="2:8" x14ac:dyDescent="0.35">
      <c r="B19" t="s">
        <v>118</v>
      </c>
      <c r="C19" s="5">
        <v>5219200000</v>
      </c>
      <c r="D19" s="5">
        <v>5744000000</v>
      </c>
      <c r="E19" s="5">
        <v>6000000000</v>
      </c>
      <c r="F19" s="5">
        <v>6416000000</v>
      </c>
      <c r="G19" s="5">
        <v>6784000000</v>
      </c>
      <c r="H19" s="5">
        <v>6992000000</v>
      </c>
    </row>
    <row r="20" spans="2:8" x14ac:dyDescent="0.35">
      <c r="B20" s="8" t="s">
        <v>119</v>
      </c>
      <c r="C20" s="5">
        <v>7665700000</v>
      </c>
      <c r="D20" s="5">
        <v>5989000000</v>
      </c>
      <c r="E20" s="5">
        <v>6367500000</v>
      </c>
      <c r="F20" s="5">
        <v>6906000000</v>
      </c>
      <c r="G20" s="5">
        <v>7291500000</v>
      </c>
      <c r="H20" s="5">
        <v>7517000000</v>
      </c>
    </row>
    <row r="22" spans="2:8" x14ac:dyDescent="0.35">
      <c r="B22" t="s">
        <v>120</v>
      </c>
    </row>
    <row r="23" spans="2:8" x14ac:dyDescent="0.35">
      <c r="B23" t="s">
        <v>121</v>
      </c>
      <c r="C23" s="3">
        <v>0.32</v>
      </c>
      <c r="D23" s="3">
        <v>0.3</v>
      </c>
      <c r="E23" s="3">
        <v>0.31</v>
      </c>
      <c r="F23" s="3">
        <v>0.315</v>
      </c>
      <c r="G23" s="3">
        <v>0.32</v>
      </c>
      <c r="H23" s="3">
        <v>0.32</v>
      </c>
    </row>
    <row r="24" spans="2:8" x14ac:dyDescent="0.35">
      <c r="B24" s="8" t="s">
        <v>122</v>
      </c>
      <c r="C24" s="5">
        <v>48036704</v>
      </c>
      <c r="D24" s="5">
        <v>48500000</v>
      </c>
      <c r="E24" s="5">
        <v>50100000</v>
      </c>
      <c r="F24" s="5">
        <v>51900000</v>
      </c>
      <c r="G24" s="5">
        <v>53300000</v>
      </c>
      <c r="H24" s="5">
        <v>54600000</v>
      </c>
    </row>
    <row r="26" spans="2:8" x14ac:dyDescent="0.35">
      <c r="B26" s="1" t="s">
        <v>123</v>
      </c>
    </row>
    <row r="27" spans="2:8" x14ac:dyDescent="0.35">
      <c r="B27" t="s">
        <v>124</v>
      </c>
      <c r="C27" s="3">
        <v>9.5000000000000001E-2</v>
      </c>
      <c r="D27" s="3">
        <v>9.5000000000000001E-2</v>
      </c>
      <c r="E27" s="3">
        <v>9.5000000000000001E-2</v>
      </c>
      <c r="F27" s="3">
        <v>9.5000000000000001E-2</v>
      </c>
      <c r="G27" s="3">
        <v>9.5000000000000001E-2</v>
      </c>
      <c r="H27" s="3">
        <v>9.5000000000000001E-2</v>
      </c>
    </row>
    <row r="28" spans="2:8" x14ac:dyDescent="0.35">
      <c r="B28" t="s">
        <v>125</v>
      </c>
      <c r="C28" s="3">
        <v>9.5000000000000001E-2</v>
      </c>
      <c r="D28" s="3">
        <v>5.1999999999999998E-2</v>
      </c>
      <c r="E28" s="3">
        <v>6.8000000000000005E-2</v>
      </c>
      <c r="F28" s="3">
        <v>8.1000000000000003E-2</v>
      </c>
      <c r="G28" s="3">
        <v>8.8999999999999996E-2</v>
      </c>
      <c r="H28" s="3">
        <v>9.2999999999999999E-2</v>
      </c>
    </row>
    <row r="29" spans="2:8" x14ac:dyDescent="0.35">
      <c r="B29" s="12" t="s">
        <v>126</v>
      </c>
      <c r="C29">
        <v>0</v>
      </c>
      <c r="D29" s="3">
        <v>-4.2999999999999997E-2</v>
      </c>
      <c r="E29" s="3">
        <v>-2.7E-2</v>
      </c>
      <c r="F29" s="3">
        <v>-1.4E-2</v>
      </c>
      <c r="G29" s="3">
        <v>-6.0000000000000001E-3</v>
      </c>
      <c r="H29" s="3">
        <v>-2E-3</v>
      </c>
    </row>
    <row r="31" spans="2:8" x14ac:dyDescent="0.35">
      <c r="B31" s="8" t="s">
        <v>70</v>
      </c>
      <c r="C31" s="5">
        <v>4785277</v>
      </c>
      <c r="D31" s="5">
        <v>2522000</v>
      </c>
      <c r="E31" s="5">
        <v>3406800</v>
      </c>
      <c r="F31" s="5">
        <v>4203900</v>
      </c>
      <c r="G31" s="5">
        <v>4743700</v>
      </c>
      <c r="H31" s="5">
        <v>5077800</v>
      </c>
    </row>
    <row r="32" spans="2:8" x14ac:dyDescent="0.35">
      <c r="B32" s="8" t="s">
        <v>127</v>
      </c>
      <c r="C32">
        <v>0</v>
      </c>
      <c r="D32" s="13">
        <v>-2300000</v>
      </c>
      <c r="E32" s="13">
        <v>-1850000</v>
      </c>
      <c r="F32" s="13">
        <v>-1050000</v>
      </c>
      <c r="G32" s="13">
        <v>-450000</v>
      </c>
      <c r="H32" s="13">
        <v>-150000</v>
      </c>
    </row>
    <row r="34" spans="2:8" x14ac:dyDescent="0.35">
      <c r="B34" s="8" t="s">
        <v>72</v>
      </c>
      <c r="C34" s="5">
        <v>4765086</v>
      </c>
      <c r="D34" s="5">
        <v>1969000</v>
      </c>
      <c r="E34" s="5">
        <v>2657000</v>
      </c>
      <c r="F34" s="5">
        <v>3278000</v>
      </c>
      <c r="G34" s="5">
        <v>3698000</v>
      </c>
      <c r="H34" s="5">
        <v>3959000</v>
      </c>
    </row>
    <row r="35" spans="2:8" x14ac:dyDescent="0.35">
      <c r="B35" s="8" t="s">
        <v>128</v>
      </c>
      <c r="C35">
        <v>0</v>
      </c>
      <c r="D35" s="13">
        <v>-1800000</v>
      </c>
      <c r="E35" s="13">
        <v>-1400000</v>
      </c>
      <c r="F35" s="13">
        <v>-800000</v>
      </c>
      <c r="G35" s="13">
        <v>-350000</v>
      </c>
      <c r="H35" s="13">
        <v>-120000</v>
      </c>
    </row>
    <row r="37" spans="2:8" x14ac:dyDescent="0.35">
      <c r="B37" s="1" t="s">
        <v>129</v>
      </c>
    </row>
    <row r="38" spans="2:8" x14ac:dyDescent="0.35">
      <c r="B38" s="8" t="s">
        <v>130</v>
      </c>
      <c r="H38" s="13">
        <v>-5800000</v>
      </c>
    </row>
    <row r="39" spans="2:8" x14ac:dyDescent="0.35">
      <c r="B39" s="8" t="s">
        <v>131</v>
      </c>
      <c r="H39" s="13">
        <v>-4470000</v>
      </c>
    </row>
  </sheetData>
  <mergeCells count="2">
    <mergeCell ref="B3:I3"/>
    <mergeCell ref="B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30"/>
  <sheetViews>
    <sheetView topLeftCell="A16" workbookViewId="0">
      <selection activeCell="L33" sqref="L33"/>
    </sheetView>
  </sheetViews>
  <sheetFormatPr defaultRowHeight="14.5" x14ac:dyDescent="0.35"/>
  <cols>
    <col min="2" max="2" width="40" customWidth="1"/>
    <col min="3" max="8" width="14" customWidth="1"/>
  </cols>
  <sheetData>
    <row r="2" spans="2:8" ht="17" x14ac:dyDescent="0.4">
      <c r="B2" s="113" t="s">
        <v>132</v>
      </c>
      <c r="C2" s="89"/>
      <c r="D2" s="89"/>
      <c r="E2" s="89"/>
      <c r="F2" s="89"/>
      <c r="G2" s="89"/>
      <c r="H2" s="89"/>
    </row>
    <row r="5" spans="2:8" x14ac:dyDescent="0.35">
      <c r="B5" s="7" t="s">
        <v>133</v>
      </c>
      <c r="C5" s="7" t="s">
        <v>134</v>
      </c>
      <c r="D5" s="7" t="s">
        <v>135</v>
      </c>
      <c r="E5" s="7" t="s">
        <v>136</v>
      </c>
      <c r="F5" s="7" t="s">
        <v>137</v>
      </c>
      <c r="G5" s="7" t="s">
        <v>138</v>
      </c>
      <c r="H5" s="7" t="s">
        <v>139</v>
      </c>
    </row>
    <row r="7" spans="2:8" x14ac:dyDescent="0.35">
      <c r="B7" s="115" t="s">
        <v>140</v>
      </c>
      <c r="C7" s="89"/>
      <c r="D7" s="89"/>
      <c r="E7" s="89"/>
      <c r="F7" s="89"/>
      <c r="G7" s="89"/>
      <c r="H7" s="89"/>
    </row>
    <row r="8" spans="2:8" x14ac:dyDescent="0.35">
      <c r="B8" t="s">
        <v>141</v>
      </c>
      <c r="C8" s="14">
        <v>-2300000</v>
      </c>
      <c r="D8" s="14">
        <v>-1850000</v>
      </c>
      <c r="E8" s="14">
        <v>-1050000</v>
      </c>
      <c r="F8" s="14">
        <v>-450000</v>
      </c>
      <c r="G8" s="14">
        <v>-150000</v>
      </c>
      <c r="H8" s="14">
        <v>-5800000</v>
      </c>
    </row>
    <row r="9" spans="2:8" x14ac:dyDescent="0.35">
      <c r="B9" t="s">
        <v>142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2:8" x14ac:dyDescent="0.35">
      <c r="B10" s="8" t="s">
        <v>143</v>
      </c>
      <c r="C10" s="14">
        <v>-2300000</v>
      </c>
      <c r="D10" s="14">
        <v>-1850000</v>
      </c>
      <c r="E10" s="14">
        <v>-1050000</v>
      </c>
      <c r="F10" s="14">
        <v>-450000</v>
      </c>
      <c r="G10" s="14">
        <v>-150000</v>
      </c>
      <c r="H10" s="14">
        <v>-5800000</v>
      </c>
    </row>
    <row r="12" spans="2:8" x14ac:dyDescent="0.35">
      <c r="B12" s="115" t="s">
        <v>144</v>
      </c>
      <c r="C12" s="89"/>
      <c r="D12" s="89"/>
      <c r="E12" s="89"/>
      <c r="F12" s="89"/>
      <c r="G12" s="89"/>
      <c r="H12" s="89"/>
    </row>
    <row r="13" spans="2:8" x14ac:dyDescent="0.35">
      <c r="B13" t="s">
        <v>145</v>
      </c>
      <c r="C13" s="14">
        <v>-2300000</v>
      </c>
      <c r="D13" s="14">
        <v>-1500000</v>
      </c>
      <c r="E13" s="14">
        <v>-500000</v>
      </c>
      <c r="F13" s="15">
        <v>200000</v>
      </c>
      <c r="G13" s="15">
        <v>500000</v>
      </c>
      <c r="H13" s="14">
        <v>-3600000</v>
      </c>
    </row>
    <row r="14" spans="2:8" x14ac:dyDescent="0.35">
      <c r="B14" t="s">
        <v>146</v>
      </c>
      <c r="C14" s="14">
        <v>-300000</v>
      </c>
      <c r="D14" s="14">
        <v>-300000</v>
      </c>
      <c r="E14">
        <v>0</v>
      </c>
      <c r="F14">
        <v>0</v>
      </c>
      <c r="G14">
        <v>0</v>
      </c>
      <c r="H14" s="14">
        <v>-600000</v>
      </c>
    </row>
    <row r="15" spans="2:8" x14ac:dyDescent="0.35">
      <c r="B15" s="8" t="s">
        <v>143</v>
      </c>
      <c r="C15" s="14">
        <v>-2600000</v>
      </c>
      <c r="D15" s="14">
        <v>-1800000</v>
      </c>
      <c r="E15" s="14">
        <v>-500000</v>
      </c>
      <c r="F15" s="15">
        <v>200000</v>
      </c>
      <c r="G15" s="15">
        <v>500000</v>
      </c>
      <c r="H15" s="14">
        <v>-4200000</v>
      </c>
    </row>
    <row r="16" spans="2:8" x14ac:dyDescent="0.35">
      <c r="B16" s="8" t="s">
        <v>147</v>
      </c>
      <c r="H16" s="15">
        <v>1600000</v>
      </c>
    </row>
    <row r="18" spans="2:8" x14ac:dyDescent="0.35">
      <c r="B18" s="115" t="s">
        <v>148</v>
      </c>
      <c r="C18" s="89"/>
      <c r="D18" s="89"/>
      <c r="E18" s="89"/>
      <c r="F18" s="89"/>
      <c r="G18" s="89"/>
      <c r="H18" s="89"/>
    </row>
    <row r="19" spans="2:8" x14ac:dyDescent="0.35">
      <c r="B19" t="s">
        <v>149</v>
      </c>
      <c r="C19" s="14">
        <v>-2300000</v>
      </c>
      <c r="D19" s="14">
        <v>-1200000</v>
      </c>
      <c r="E19" s="14">
        <v>-700000</v>
      </c>
      <c r="F19" s="14">
        <v>-300000</v>
      </c>
      <c r="G19" s="14">
        <v>-100000</v>
      </c>
      <c r="H19" s="14">
        <v>-4600000</v>
      </c>
    </row>
    <row r="20" spans="2:8" x14ac:dyDescent="0.35">
      <c r="B20" t="s">
        <v>142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2:8" x14ac:dyDescent="0.35">
      <c r="B21" s="8" t="s">
        <v>143</v>
      </c>
      <c r="C21" s="14">
        <v>-2300000</v>
      </c>
      <c r="D21" s="14">
        <v>-1200000</v>
      </c>
      <c r="E21" s="14">
        <v>-700000</v>
      </c>
      <c r="F21" s="14">
        <v>-300000</v>
      </c>
      <c r="G21" s="14">
        <v>-100000</v>
      </c>
      <c r="H21" s="14">
        <v>-4600000</v>
      </c>
    </row>
    <row r="22" spans="2:8" x14ac:dyDescent="0.35">
      <c r="B22" s="8" t="s">
        <v>147</v>
      </c>
      <c r="H22" s="15">
        <v>1200000</v>
      </c>
    </row>
    <row r="24" spans="2:8" x14ac:dyDescent="0.35">
      <c r="B24" s="115" t="s">
        <v>150</v>
      </c>
      <c r="C24" s="89"/>
      <c r="D24" s="89"/>
      <c r="E24" s="89"/>
      <c r="F24" s="89"/>
      <c r="G24" s="89"/>
      <c r="H24" s="89"/>
    </row>
    <row r="25" spans="2:8" x14ac:dyDescent="0.35">
      <c r="B25" t="s">
        <v>151</v>
      </c>
      <c r="C25" s="14">
        <v>-3500000</v>
      </c>
      <c r="D25" s="14">
        <v>-3200000</v>
      </c>
      <c r="E25" s="14">
        <v>-2900000</v>
      </c>
      <c r="F25" s="14">
        <v>-2600000</v>
      </c>
      <c r="G25" s="14">
        <v>-2400000</v>
      </c>
      <c r="H25" s="14">
        <v>-14600000</v>
      </c>
    </row>
    <row r="26" spans="2:8" x14ac:dyDescent="0.35">
      <c r="B26" s="8" t="s">
        <v>143</v>
      </c>
      <c r="C26" s="14">
        <v>-3500000</v>
      </c>
      <c r="D26" s="14">
        <v>-3200000</v>
      </c>
      <c r="E26" s="14">
        <v>-2900000</v>
      </c>
      <c r="F26" s="14">
        <v>-2600000</v>
      </c>
      <c r="G26" s="14">
        <v>-2400000</v>
      </c>
      <c r="H26" s="14">
        <v>-14600000</v>
      </c>
    </row>
    <row r="27" spans="2:8" x14ac:dyDescent="0.35">
      <c r="B27" s="8" t="s">
        <v>152</v>
      </c>
      <c r="H27" s="14">
        <v>-8800000</v>
      </c>
    </row>
    <row r="30" spans="2:8" x14ac:dyDescent="0.35">
      <c r="B30" s="114" t="s">
        <v>153</v>
      </c>
      <c r="C30" s="89"/>
      <c r="D30" s="89"/>
      <c r="E30" s="89"/>
      <c r="F30" s="89"/>
      <c r="G30" s="89"/>
      <c r="H30" s="89"/>
    </row>
  </sheetData>
  <mergeCells count="6">
    <mergeCell ref="B2:H2"/>
    <mergeCell ref="B30:H30"/>
    <mergeCell ref="B7:H7"/>
    <mergeCell ref="B18:H18"/>
    <mergeCell ref="B12:H12"/>
    <mergeCell ref="B24:H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Baseline &amp; Tariff Impact</vt:lpstr>
      <vt:lpstr>Strategic Revenue Model</vt:lpstr>
      <vt:lpstr>1. Assumptions</vt:lpstr>
      <vt:lpstr>2. Historical Financials</vt:lpstr>
      <vt:lpstr>3. BAU Projection</vt:lpstr>
      <vt:lpstr>4. Tariff Impact Detail</vt:lpstr>
      <vt:lpstr>5. Tariff Impact 5Yr</vt:lpstr>
      <vt:lpstr>6. Strategic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Zaahid Tinwala</cp:lastModifiedBy>
  <dcterms:created xsi:type="dcterms:W3CDTF">2026-02-08T09:36:38Z</dcterms:created>
  <dcterms:modified xsi:type="dcterms:W3CDTF">2026-02-08T15:53:11Z</dcterms:modified>
</cp:coreProperties>
</file>